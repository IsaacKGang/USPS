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166925"/>
  <mc:AlternateContent xmlns:mc="http://schemas.openxmlformats.org/markup-compatibility/2006">
    <mc:Choice Requires="x15">
      <x15ac:absPath xmlns:x15ac="http://schemas.microsoft.com/office/spreadsheetml/2010/11/ac" url="/Users/igang/Desktop/"/>
    </mc:Choice>
  </mc:AlternateContent>
  <xr:revisionPtr revIDLastSave="0" documentId="8_{C890FF06-A395-4446-A9E5-26EB54A53890}" xr6:coauthVersionLast="47" xr6:coauthVersionMax="47" xr10:uidLastSave="{00000000-0000-0000-0000-000000000000}"/>
  <bookViews>
    <workbookView xWindow="0" yWindow="660" windowWidth="29040" windowHeight="17520" tabRatio="744" firstSheet="39" activeTab="45" xr2:uid="{00000000-000D-0000-FFFF-FFFF00000000}"/>
  </bookViews>
  <sheets>
    <sheet name="Cover" sheetId="40" r:id="rId1"/>
    <sheet name="Table 3.1-UAA Summary" sheetId="47" r:id="rId2"/>
    <sheet name="Table 3.2-Total Fwd Summary" sheetId="73" r:id="rId3"/>
    <sheet name="Table 3.3-PARS Fwd Summary" sheetId="71" r:id="rId4"/>
    <sheet name="Table 3.4-NonPARS Fwd Summary" sheetId="72" r:id="rId5"/>
    <sheet name="Table 3.5-Total RTS Summary" sheetId="70" r:id="rId6"/>
    <sheet name="Table 3.6-PARS RTS Summary" sheetId="67" r:id="rId7"/>
    <sheet name="Table 3.7-NonPARS RTS Summary" sheetId="69" r:id="rId8"/>
    <sheet name="Table 3.8-Total Wst Summary" sheetId="66" r:id="rId9"/>
    <sheet name="Table 3.9-PARS Wst Summary" sheetId="64" r:id="rId10"/>
    <sheet name="Table 3.10-NonPARS Wst Summary" sheetId="65" r:id="rId11"/>
    <sheet name="Table 3.11-Form3547 Costs" sheetId="78" r:id="rId12"/>
    <sheet name="Table 3.12-Form3579 Costs" sheetId="80" r:id="rId13"/>
    <sheet name="Table 3.13-COA Costs" sheetId="20" r:id="rId14"/>
    <sheet name="Table 3.14-Route UAA" sheetId="21" r:id="rId15"/>
    <sheet name="Table 3.15-Route UAA NoPARS" sheetId="63" r:id="rId16"/>
    <sheet name="Table 3.16-Route UAA PARS" sheetId="62" r:id="rId17"/>
    <sheet name="Table 3.17-No Record Mail" sheetId="37" r:id="rId18"/>
    <sheet name="Table 3.18-Nixie UAA" sheetId="22" r:id="rId19"/>
    <sheet name="Table 3.19-CFS UAA" sheetId="23" r:id="rId20"/>
    <sheet name="Table 3.20-CFS Non-CIOSS" sheetId="32" r:id="rId21"/>
    <sheet name="Table 3.21-CFS CIOSS Rejs" sheetId="54" r:id="rId22"/>
    <sheet name="Table 3.22-CFS Key Rates" sheetId="36" r:id="rId23"/>
    <sheet name="Table 3.23-CIOSS Summary" sheetId="49" r:id="rId24"/>
    <sheet name="Table 3.24-CIOSS Detail" sheetId="48" r:id="rId25"/>
    <sheet name="Table 3.25-REC Summary" sheetId="59" r:id="rId26"/>
    <sheet name="Table 3.26-REC Detail NonACS" sheetId="51" r:id="rId27"/>
    <sheet name="Table 3.27-REC Detail ACS" sheetId="75" r:id="rId28"/>
    <sheet name="Table 3.28-REC Volume" sheetId="50" r:id="rId29"/>
    <sheet name="Table 3.29-UAA MP Units" sheetId="30" r:id="rId30"/>
    <sheet name="Table 3.30-UAA MP Cost" sheetId="74" r:id="rId31"/>
    <sheet name="Table 3.31-Rating Post Due" sheetId="29" r:id="rId32"/>
    <sheet name="Table 3.32-Accounting Post Due" sheetId="26" r:id="rId33"/>
    <sheet name="Table 3.33-Delivery Post Due" sheetId="27" r:id="rId34"/>
    <sheet name="Table 3.34-Window Post Due" sheetId="28" r:id="rId35"/>
    <sheet name="Table 3.35-PD Vols" sheetId="68" r:id="rId36"/>
    <sheet name="Table 3.36-Process Form 3546" sheetId="33" r:id="rId37"/>
    <sheet name="Table 3.37-Notice Inputs" sheetId="77" r:id="rId38"/>
    <sheet name="Table 3.38-Form 3547 Dist" sheetId="76" r:id="rId39"/>
    <sheet name="Table 3.39-Form 3579 Dist" sheetId="55" r:id="rId40"/>
    <sheet name="Table 3.40-Form Processing" sheetId="25" r:id="rId41"/>
    <sheet name="Table 3.41-Man Notice" sheetId="81" r:id="rId42"/>
    <sheet name="Table 3.42-Vol Flows" sheetId="57" r:id="rId43"/>
    <sheet name="Table 3.43-Elec Notice" sheetId="82" r:id="rId44"/>
    <sheet name="Table 3.44-One Code ACS" sheetId="84" r:id="rId45"/>
    <sheet name="checksum" sheetId="42" r:id="rId46"/>
  </sheets>
  <definedNames>
    <definedName name="_xlnm.Print_Area" localSheetId="1">'Table 3.1-UAA Summary'!$A$1:$N$85</definedName>
    <definedName name="_xlnm.Print_Area" localSheetId="11">'Table 3.11-Form3547 Costs'!$A$1:$P$86</definedName>
    <definedName name="_xlnm.Print_Area" localSheetId="13">'Table 3.13-COA Costs'!$A$1:$N$88</definedName>
    <definedName name="_xlnm.Print_Area" localSheetId="14">'Table 3.14-Route UAA'!$A$1:$K$124</definedName>
    <definedName name="_xlnm.Print_Area" localSheetId="15">'Table 3.15-Route UAA NoPARS'!$A$1:$K$124</definedName>
    <definedName name="_xlnm.Print_Area" localSheetId="16">'Table 3.16-Route UAA PARS'!$A$1:$K$126</definedName>
    <definedName name="_xlnm.Print_Area" localSheetId="17">'Table 3.17-No Record Mail'!$A$1:$K$37</definedName>
    <definedName name="_xlnm.Print_Area" localSheetId="18">'Table 3.18-Nixie UAA'!$A$1:$J$52</definedName>
    <definedName name="_xlnm.Print_Area" localSheetId="19">'Table 3.19-CFS UAA'!$A$1:$K$117</definedName>
    <definedName name="_xlnm.Print_Area" localSheetId="21">'Table 3.21-CFS CIOSS Rejs'!$A$1:$I$118</definedName>
    <definedName name="_xlnm.Print_Area" localSheetId="22">'Table 3.22-CFS Key Rates'!$A$1:$K$32</definedName>
    <definedName name="_xlnm.Print_Area" localSheetId="26">'Table 3.26-REC Detail NonACS'!$A$1:$L$67</definedName>
    <definedName name="_xlnm.Print_Area" localSheetId="27">'Table 3.27-REC Detail ACS'!$A$1:$L$67</definedName>
    <definedName name="_xlnm.Print_Area" localSheetId="29">'Table 3.29-UAA MP Units'!$A$1:$G$33</definedName>
    <definedName name="_xlnm.Print_Area" localSheetId="31">'Table 3.31-Rating Post Due'!$A$1:$I$33</definedName>
    <definedName name="_xlnm.Print_Area" localSheetId="32">'Table 3.32-Accounting Post Due'!$A$1:$I$25</definedName>
    <definedName name="_xlnm.Print_Area" localSheetId="33">'Table 3.33-Delivery Post Due'!$A$1:$I$39</definedName>
    <definedName name="_xlnm.Print_Area" localSheetId="34">'Table 3.34-Window Post Due'!$A$1:$I$13</definedName>
    <definedName name="_xlnm.Print_Area" localSheetId="36">'Table 3.36-Process Form 3546'!$A$1:$J$24</definedName>
    <definedName name="_xlnm.Print_Area" localSheetId="40">'Table 3.40-Form Processing'!$A$1:$J$14</definedName>
    <definedName name="_xlnm.Print_Area" localSheetId="41">'Table 3.41-Man Notice'!$A$1:$F$44</definedName>
    <definedName name="_xlnm.Print_Area" localSheetId="43">'Table 3.43-Elec Notice'!$A$1:$R$45</definedName>
    <definedName name="_xlnm.Print_Area" localSheetId="44">'Table 3.44-One Code ACS'!$A$1:$R$45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20" l="1"/>
  <c r="H24" i="20"/>
  <c r="B7" i="36"/>
  <c r="D30" i="74"/>
  <c r="D52" i="23"/>
  <c r="D56" i="23"/>
  <c r="B56" i="23"/>
  <c r="D39" i="23"/>
  <c r="B39" i="23"/>
  <c r="F8" i="84"/>
  <c r="L8" i="84"/>
  <c r="R8" i="84"/>
  <c r="B12" i="84"/>
  <c r="R12" i="84"/>
  <c r="R13" i="84"/>
  <c r="F20" i="84"/>
  <c r="L20" i="84"/>
  <c r="R20" i="84"/>
  <c r="B24" i="84"/>
  <c r="R24" i="84"/>
  <c r="R25" i="84"/>
  <c r="J73" i="47"/>
  <c r="F8" i="82"/>
  <c r="L8" i="82"/>
  <c r="R8" i="82"/>
  <c r="B12" i="82"/>
  <c r="R12" i="82"/>
  <c r="R13" i="82"/>
  <c r="F20" i="82"/>
  <c r="L20" i="82"/>
  <c r="R20" i="82"/>
  <c r="B24" i="82"/>
  <c r="R24" i="82"/>
  <c r="R25" i="82"/>
  <c r="B43" i="23"/>
  <c r="K102" i="23"/>
  <c r="M102" i="23" s="1"/>
  <c r="B52" i="23"/>
  <c r="H106" i="23"/>
  <c r="F103" i="32"/>
  <c r="F93" i="54"/>
  <c r="E45" i="75"/>
  <c r="C23" i="54"/>
  <c r="D43" i="23" s="1"/>
  <c r="F43" i="23" s="1"/>
  <c r="C28" i="54"/>
  <c r="C33" i="54"/>
  <c r="C90" i="54" s="1"/>
  <c r="F90" i="54" s="1"/>
  <c r="C93" i="54"/>
  <c r="C103" i="54"/>
  <c r="F103" i="54" s="1"/>
  <c r="C106" i="54"/>
  <c r="F106" i="54" s="1"/>
  <c r="C108" i="54"/>
  <c r="F108" i="54" s="1"/>
  <c r="K39" i="47"/>
  <c r="K40" i="47"/>
  <c r="C7" i="29"/>
  <c r="F52" i="23"/>
  <c r="F56" i="23"/>
  <c r="H54" i="54"/>
  <c r="I54" i="54" s="1"/>
  <c r="D7" i="54"/>
  <c r="D12" i="54"/>
  <c r="D17" i="54"/>
  <c r="D43" i="54"/>
  <c r="D48" i="54"/>
  <c r="D54" i="54"/>
  <c r="D59" i="54"/>
  <c r="D69" i="54"/>
  <c r="D74" i="54"/>
  <c r="D80" i="54"/>
  <c r="D85" i="54"/>
  <c r="N26" i="20"/>
  <c r="B5" i="42"/>
  <c r="B6" i="42" s="1"/>
  <c r="B7" i="42" s="1"/>
  <c r="B8" i="42" s="1"/>
  <c r="B9" i="42" s="1"/>
  <c r="B10" i="42" s="1"/>
  <c r="B11" i="42" s="1"/>
  <c r="B12" i="42" s="1"/>
  <c r="B13" i="42" s="1"/>
  <c r="B14" i="42" s="1"/>
  <c r="B15" i="42" s="1"/>
  <c r="B16" i="42" s="1"/>
  <c r="B17" i="42" s="1"/>
  <c r="B18" i="42" s="1"/>
  <c r="B19" i="42" s="1"/>
  <c r="B20" i="42" s="1"/>
  <c r="B21" i="42" s="1"/>
  <c r="B22" i="42" s="1"/>
  <c r="B23" i="42" s="1"/>
  <c r="B24" i="42" s="1"/>
  <c r="B25" i="42" s="1"/>
  <c r="B26" i="42" s="1"/>
  <c r="B27" i="42" s="1"/>
  <c r="B28" i="42" s="1"/>
  <c r="B29" i="42" s="1"/>
  <c r="B30" i="42" s="1"/>
  <c r="B31" i="42" s="1"/>
  <c r="B32" i="42" s="1"/>
  <c r="B33" i="42" s="1"/>
  <c r="B34" i="42" s="1"/>
  <c r="B35" i="42" s="1"/>
  <c r="B36" i="42" s="1"/>
  <c r="B37" i="42" s="1"/>
  <c r="B38" i="42" s="1"/>
  <c r="B39" i="42" s="1"/>
  <c r="B40" i="42" s="1"/>
  <c r="B41" i="42" s="1"/>
  <c r="B42" i="42" s="1"/>
  <c r="B43" i="42" s="1"/>
  <c r="B44" i="42" s="1"/>
  <c r="B45" i="42" s="1"/>
  <c r="B46" i="42" s="1"/>
  <c r="B47" i="42" s="1"/>
  <c r="K12" i="36"/>
  <c r="B50" i="54"/>
  <c r="B56" i="54"/>
  <c r="B61" i="54"/>
  <c r="N24" i="20" l="1"/>
  <c r="D25" i="23"/>
  <c r="D87" i="23" s="1"/>
  <c r="H17" i="36"/>
  <c r="B19" i="36"/>
  <c r="B20" i="36" s="1"/>
  <c r="B21" i="36" s="1"/>
  <c r="B22" i="36" s="1"/>
  <c r="B24" i="36" s="1"/>
  <c r="H24" i="36" s="1"/>
  <c r="B8" i="36"/>
  <c r="B9" i="36" s="1"/>
  <c r="B10" i="36" s="1"/>
  <c r="B12" i="36" s="1"/>
  <c r="K20" i="57"/>
  <c r="C106" i="32"/>
  <c r="F106" i="32" s="1"/>
  <c r="D74" i="32"/>
  <c r="K11" i="36"/>
  <c r="D43" i="32"/>
  <c r="C28" i="32"/>
  <c r="B45" i="54"/>
  <c r="C33" i="32"/>
  <c r="C108" i="32"/>
  <c r="F108" i="32" s="1"/>
  <c r="G10" i="57"/>
  <c r="D59" i="32"/>
  <c r="F39" i="23"/>
  <c r="L20" i="57"/>
  <c r="I20" i="57"/>
  <c r="D69" i="32" l="1"/>
  <c r="D21" i="23"/>
  <c r="D102" i="23" s="1"/>
  <c r="H102" i="23" s="1"/>
  <c r="K24" i="36"/>
  <c r="H23" i="36"/>
  <c r="K23" i="36" s="1"/>
  <c r="B12" i="23"/>
  <c r="C23" i="32"/>
  <c r="B8" i="23"/>
  <c r="D85" i="32"/>
  <c r="D12" i="32"/>
  <c r="B21" i="23"/>
  <c r="M20" i="57"/>
  <c r="B25" i="23"/>
  <c r="D80" i="32"/>
  <c r="C30" i="32"/>
  <c r="H54" i="32"/>
  <c r="D83" i="23" l="1"/>
  <c r="F21" i="23"/>
  <c r="D17" i="32"/>
  <c r="I54" i="32"/>
  <c r="D48" i="32"/>
  <c r="C93" i="32"/>
  <c r="F93" i="32" s="1"/>
  <c r="D54" i="32"/>
  <c r="B87" i="23"/>
  <c r="F25" i="23"/>
  <c r="D12" i="23"/>
  <c r="B106" i="23"/>
  <c r="B83" i="23"/>
  <c r="B70" i="23"/>
  <c r="B74" i="23"/>
  <c r="F83" i="23" l="1"/>
  <c r="F87" i="23"/>
  <c r="F12" i="23"/>
  <c r="D74" i="23"/>
  <c r="D7" i="32"/>
  <c r="D8" i="23"/>
  <c r="C90" i="32"/>
  <c r="F90" i="32" l="1"/>
  <c r="F8" i="23"/>
  <c r="D70" i="23"/>
  <c r="F74" i="23"/>
  <c r="F70" i="23" l="1"/>
  <c r="D9" i="29" l="1"/>
  <c r="B30" i="74" l="1"/>
  <c r="F30" i="74" s="1"/>
  <c r="E18" i="30"/>
  <c r="G28" i="50" l="1"/>
  <c r="H28" i="50"/>
  <c r="E28" i="51" s="1"/>
  <c r="F6" i="78" l="1"/>
  <c r="F13" i="78"/>
  <c r="J52" i="23"/>
  <c r="K52" i="23" s="1"/>
  <c r="H12" i="54"/>
  <c r="H7" i="32"/>
  <c r="H48" i="32"/>
  <c r="J12" i="23"/>
  <c r="H43" i="54"/>
  <c r="H28" i="54"/>
  <c r="H85" i="32"/>
  <c r="J39" i="23"/>
  <c r="H33" i="54"/>
  <c r="H12" i="32"/>
  <c r="H80" i="32"/>
  <c r="H69" i="32"/>
  <c r="H48" i="54"/>
  <c r="H29" i="32"/>
  <c r="H43" i="32"/>
  <c r="H7" i="54"/>
  <c r="J8" i="23"/>
  <c r="H69" i="54"/>
  <c r="H23" i="54"/>
  <c r="J56" i="23"/>
  <c r="K56" i="23" s="1"/>
  <c r="H74" i="32"/>
  <c r="H74" i="54"/>
  <c r="H28" i="32"/>
  <c r="H33" i="32"/>
  <c r="J43" i="23"/>
  <c r="J21" i="23"/>
  <c r="H59" i="54"/>
  <c r="H85" i="54"/>
  <c r="H59" i="32"/>
  <c r="H17" i="54"/>
  <c r="H23" i="32"/>
  <c r="H80" i="54"/>
  <c r="J25" i="23"/>
  <c r="H17" i="32"/>
  <c r="J74" i="20"/>
  <c r="J75" i="20"/>
  <c r="J9" i="33"/>
  <c r="L26" i="20"/>
  <c r="H18" i="29" l="1"/>
  <c r="K43" i="23"/>
  <c r="I69" i="54"/>
  <c r="I43" i="32"/>
  <c r="I33" i="54"/>
  <c r="K12" i="23"/>
  <c r="J74" i="23"/>
  <c r="I17" i="32"/>
  <c r="I17" i="54"/>
  <c r="I33" i="32"/>
  <c r="I74" i="32"/>
  <c r="I80" i="32"/>
  <c r="K39" i="23"/>
  <c r="K25" i="23"/>
  <c r="J87" i="23"/>
  <c r="I23" i="32"/>
  <c r="I59" i="32"/>
  <c r="I85" i="54"/>
  <c r="I28" i="32"/>
  <c r="H30" i="32"/>
  <c r="K8" i="23"/>
  <c r="J70" i="23"/>
  <c r="I85" i="32"/>
  <c r="I59" i="54"/>
  <c r="I7" i="54"/>
  <c r="I48" i="32"/>
  <c r="I80" i="54"/>
  <c r="I23" i="54"/>
  <c r="I48" i="54"/>
  <c r="I28" i="54"/>
  <c r="I74" i="54"/>
  <c r="I7" i="32"/>
  <c r="I69" i="32"/>
  <c r="I43" i="54"/>
  <c r="I12" i="54"/>
  <c r="H7" i="29"/>
  <c r="H8" i="29"/>
  <c r="K21" i="23"/>
  <c r="J83" i="23"/>
  <c r="I12" i="32"/>
  <c r="H15" i="20"/>
  <c r="K83" i="23" l="1"/>
  <c r="L24" i="20"/>
  <c r="K21" i="75"/>
  <c r="G21" i="75"/>
  <c r="G44" i="75"/>
  <c r="K44" i="75"/>
  <c r="L44" i="75" s="1"/>
  <c r="K74" i="23"/>
  <c r="K70" i="23"/>
  <c r="G20" i="75"/>
  <c r="K20" i="75"/>
  <c r="I7" i="29"/>
  <c r="H9" i="29"/>
  <c r="K87" i="23"/>
  <c r="L15" i="20"/>
  <c r="L27" i="20"/>
  <c r="N27" i="20" s="1"/>
  <c r="L21" i="75" l="1"/>
  <c r="H27" i="20"/>
  <c r="K5" i="75"/>
  <c r="E5" i="59"/>
  <c r="L5" i="59" s="1"/>
  <c r="G5" i="75"/>
  <c r="G34" i="75"/>
  <c r="K34" i="75"/>
  <c r="K12" i="75"/>
  <c r="G12" i="75"/>
  <c r="N15" i="20"/>
  <c r="G28" i="75"/>
  <c r="K28" i="75"/>
  <c r="L28" i="75" s="1"/>
  <c r="E4" i="59"/>
  <c r="K4" i="75"/>
  <c r="G4" i="75"/>
  <c r="G6" i="75"/>
  <c r="K6" i="75"/>
  <c r="E6" i="59"/>
  <c r="L6" i="59" s="1"/>
  <c r="K27" i="75"/>
  <c r="G27" i="75"/>
  <c r="G28" i="48"/>
  <c r="K28" i="48"/>
  <c r="L28" i="48" s="1"/>
  <c r="K28" i="51"/>
  <c r="L28" i="51" s="1"/>
  <c r="G28" i="51"/>
  <c r="I36" i="22"/>
  <c r="J36" i="22" s="1"/>
  <c r="E36" i="22"/>
  <c r="K13" i="75"/>
  <c r="G13" i="75"/>
  <c r="F45" i="75"/>
  <c r="G43" i="75"/>
  <c r="K43" i="75"/>
  <c r="L25" i="20"/>
  <c r="N25" i="20" s="1"/>
  <c r="H25" i="20"/>
  <c r="L20" i="75"/>
  <c r="K19" i="75"/>
  <c r="G19" i="75"/>
  <c r="L17" i="20"/>
  <c r="N17" i="20" s="1"/>
  <c r="L35" i="20"/>
  <c r="N35" i="20" s="1"/>
  <c r="L33" i="20"/>
  <c r="N33" i="20" s="1"/>
  <c r="L19" i="20"/>
  <c r="N19" i="20" s="1"/>
  <c r="L6" i="75" l="1"/>
  <c r="L43" i="75"/>
  <c r="K45" i="75"/>
  <c r="L45" i="75" s="1"/>
  <c r="H19" i="20"/>
  <c r="H33" i="20"/>
  <c r="L19" i="75"/>
  <c r="G45" i="75"/>
  <c r="E16" i="59"/>
  <c r="L16" i="59" s="1"/>
  <c r="L4" i="75"/>
  <c r="L13" i="75"/>
  <c r="L4" i="59"/>
  <c r="L5" i="75"/>
  <c r="H35" i="20"/>
  <c r="L32" i="20"/>
  <c r="H32" i="20"/>
  <c r="H17" i="20"/>
  <c r="L27" i="75"/>
  <c r="L12" i="75"/>
  <c r="L16" i="20"/>
  <c r="H16" i="20"/>
  <c r="L28" i="20"/>
  <c r="N28" i="20" s="1"/>
  <c r="H28" i="20"/>
  <c r="L34" i="75"/>
  <c r="F30" i="20"/>
  <c r="H30" i="20" s="1"/>
  <c r="L20" i="20" l="1"/>
  <c r="N20" i="20" s="1"/>
  <c r="H20" i="20"/>
  <c r="L29" i="20"/>
  <c r="N29" i="20" s="1"/>
  <c r="H29" i="20"/>
  <c r="N16" i="20"/>
  <c r="N32" i="20"/>
  <c r="L36" i="20"/>
  <c r="N36" i="20" s="1"/>
  <c r="H36" i="20"/>
  <c r="L6" i="20"/>
  <c r="N6" i="20" s="1"/>
  <c r="H6" i="20" l="1"/>
  <c r="L37" i="20"/>
  <c r="N37" i="20" s="1"/>
  <c r="H37" i="20"/>
  <c r="E35" i="22"/>
  <c r="I35" i="22"/>
  <c r="L21" i="20"/>
  <c r="N21" i="20" s="1"/>
  <c r="H21" i="20"/>
  <c r="I34" i="22"/>
  <c r="E34" i="22"/>
  <c r="L30" i="20"/>
  <c r="N30" i="20" s="1"/>
  <c r="D40" i="20" l="1"/>
  <c r="J34" i="22"/>
  <c r="J35" i="22"/>
  <c r="L10" i="20"/>
  <c r="N10" i="20" s="1"/>
  <c r="L8" i="20"/>
  <c r="N8" i="20" s="1"/>
  <c r="D79" i="20" l="1"/>
  <c r="D67" i="20"/>
  <c r="L7" i="20"/>
  <c r="H7" i="20"/>
  <c r="H10" i="20"/>
  <c r="H8" i="20"/>
  <c r="L48" i="20"/>
  <c r="N48" i="20" s="1"/>
  <c r="L58" i="20"/>
  <c r="N58" i="20" s="1"/>
  <c r="L9" i="20"/>
  <c r="N9" i="20" s="1"/>
  <c r="E44" i="51" l="1"/>
  <c r="D75" i="20" s="1"/>
  <c r="N7" i="20"/>
  <c r="L57" i="20"/>
  <c r="H57" i="20"/>
  <c r="H58" i="20"/>
  <c r="H48" i="20"/>
  <c r="L18" i="20"/>
  <c r="F22" i="20"/>
  <c r="H22" i="20" s="1"/>
  <c r="H18" i="20"/>
  <c r="L11" i="20"/>
  <c r="N11" i="20" s="1"/>
  <c r="H11" i="20"/>
  <c r="E43" i="51"/>
  <c r="H9" i="20"/>
  <c r="L34" i="20"/>
  <c r="F38" i="20"/>
  <c r="H38" i="20" s="1"/>
  <c r="H34" i="20"/>
  <c r="L47" i="20"/>
  <c r="H47" i="20"/>
  <c r="F47" i="47"/>
  <c r="L47" i="47" s="1"/>
  <c r="L62" i="20"/>
  <c r="N62" i="20" s="1"/>
  <c r="L52" i="20"/>
  <c r="N52" i="20" s="1"/>
  <c r="L60" i="20"/>
  <c r="N60" i="20" s="1"/>
  <c r="L50" i="20"/>
  <c r="N50" i="20" s="1"/>
  <c r="H45" i="50" l="1"/>
  <c r="H62" i="20"/>
  <c r="H52" i="20"/>
  <c r="H50" i="20"/>
  <c r="N47" i="20"/>
  <c r="N57" i="20"/>
  <c r="L38" i="20"/>
  <c r="N38" i="20" s="1"/>
  <c r="N34" i="20"/>
  <c r="L49" i="20"/>
  <c r="N49" i="20" s="1"/>
  <c r="H49" i="20"/>
  <c r="F13" i="20"/>
  <c r="L12" i="20"/>
  <c r="N12" i="20" s="1"/>
  <c r="H12" i="20"/>
  <c r="D74" i="20"/>
  <c r="E45" i="51"/>
  <c r="L22" i="20"/>
  <c r="N22" i="20" s="1"/>
  <c r="N18" i="20"/>
  <c r="L59" i="20"/>
  <c r="N59" i="20" s="1"/>
  <c r="H59" i="20"/>
  <c r="H60" i="20"/>
  <c r="L13" i="20" l="1"/>
  <c r="L40" i="20" s="1"/>
  <c r="L53" i="20"/>
  <c r="N53" i="20" s="1"/>
  <c r="H53" i="20"/>
  <c r="E55" i="51"/>
  <c r="C16" i="59"/>
  <c r="D77" i="20"/>
  <c r="L63" i="20"/>
  <c r="N63" i="20" s="1"/>
  <c r="H63" i="20"/>
  <c r="F40" i="20"/>
  <c r="H13" i="20"/>
  <c r="N13" i="20" l="1"/>
  <c r="L64" i="20"/>
  <c r="N64" i="20" s="1"/>
  <c r="H64" i="20"/>
  <c r="G44" i="51"/>
  <c r="K44" i="51"/>
  <c r="L44" i="51" s="1"/>
  <c r="F75" i="20"/>
  <c r="L61" i="20"/>
  <c r="H61" i="20"/>
  <c r="F65" i="20"/>
  <c r="H65" i="20" s="1"/>
  <c r="L51" i="20"/>
  <c r="H51" i="20"/>
  <c r="F55" i="20"/>
  <c r="L54" i="20"/>
  <c r="N54" i="20" s="1"/>
  <c r="H54" i="20"/>
  <c r="N40" i="20"/>
  <c r="G43" i="51"/>
  <c r="F74" i="20"/>
  <c r="F45" i="51"/>
  <c r="K43" i="51"/>
  <c r="H40" i="20"/>
  <c r="D16" i="59" l="1"/>
  <c r="G45" i="51"/>
  <c r="L74" i="20"/>
  <c r="F77" i="20"/>
  <c r="H74" i="20"/>
  <c r="N51" i="20"/>
  <c r="L55" i="20"/>
  <c r="N61" i="20"/>
  <c r="L65" i="20"/>
  <c r="N65" i="20" s="1"/>
  <c r="L75" i="20"/>
  <c r="N75" i="20" s="1"/>
  <c r="H75" i="20"/>
  <c r="L43" i="51"/>
  <c r="K45" i="51"/>
  <c r="L45" i="51" s="1"/>
  <c r="F67" i="20"/>
  <c r="H55" i="20"/>
  <c r="L67" i="20" l="1"/>
  <c r="N55" i="20"/>
  <c r="K16" i="59"/>
  <c r="M16" i="59" s="1"/>
  <c r="N16" i="59" s="1"/>
  <c r="F16" i="59"/>
  <c r="G16" i="59" s="1"/>
  <c r="H67" i="20"/>
  <c r="F79" i="20"/>
  <c r="L77" i="20"/>
  <c r="N77" i="20" s="1"/>
  <c r="N74" i="20"/>
  <c r="N67" i="20" l="1"/>
  <c r="L79" i="20"/>
  <c r="C16" i="42"/>
  <c r="H79" i="20"/>
  <c r="E47" i="47" l="1"/>
  <c r="N79" i="20"/>
  <c r="H70" i="47" s="1"/>
  <c r="G47" i="47" l="1"/>
  <c r="K47" i="47"/>
  <c r="I70" i="47" s="1"/>
  <c r="J70" i="47" s="1"/>
  <c r="H65" i="47" l="1"/>
  <c r="M47" i="47"/>
  <c r="F30" i="62" l="1"/>
  <c r="K30" i="62" s="1"/>
  <c r="F29" i="62"/>
  <c r="K29" i="62" s="1"/>
  <c r="F31" i="62"/>
  <c r="K31" i="62" s="1"/>
  <c r="P29" i="21" l="1"/>
  <c r="P30" i="21"/>
  <c r="P31" i="21"/>
  <c r="L21" i="57"/>
  <c r="L22" i="57" s="1"/>
  <c r="H22" i="57"/>
  <c r="N31" i="21" l="1"/>
  <c r="N30" i="21"/>
  <c r="D32" i="21"/>
  <c r="N29" i="21"/>
  <c r="D32" i="62"/>
  <c r="F28" i="62"/>
  <c r="K28" i="62" s="1"/>
  <c r="J30" i="63" l="1"/>
  <c r="F30" i="63"/>
  <c r="K30" i="63" s="1"/>
  <c r="J29" i="63"/>
  <c r="F29" i="63"/>
  <c r="K29" i="63" s="1"/>
  <c r="J31" i="63"/>
  <c r="F31" i="63"/>
  <c r="K31" i="63" s="1"/>
  <c r="D102" i="21"/>
  <c r="K32" i="62"/>
  <c r="F32" i="62"/>
  <c r="D102" i="62"/>
  <c r="K102" i="62" s="1"/>
  <c r="D32" i="63"/>
  <c r="D102" i="63" s="1"/>
  <c r="B5" i="72" s="1"/>
  <c r="P28" i="21"/>
  <c r="B32" i="62"/>
  <c r="E29" i="22" l="1"/>
  <c r="I29" i="22"/>
  <c r="D82" i="63"/>
  <c r="B32" i="21"/>
  <c r="J31" i="62"/>
  <c r="P102" i="21"/>
  <c r="J29" i="62"/>
  <c r="P32" i="21"/>
  <c r="D11" i="63"/>
  <c r="D99" i="63" s="1"/>
  <c r="B32" i="63"/>
  <c r="B8" i="72"/>
  <c r="J30" i="62"/>
  <c r="B5" i="69" l="1"/>
  <c r="J29" i="22"/>
  <c r="N32" i="21"/>
  <c r="O29" i="21"/>
  <c r="F29" i="21"/>
  <c r="K29" i="21" s="1"/>
  <c r="J29" i="21"/>
  <c r="B20" i="73"/>
  <c r="N28" i="21"/>
  <c r="B82" i="63"/>
  <c r="F31" i="21"/>
  <c r="K31" i="21" s="1"/>
  <c r="J31" i="21"/>
  <c r="O31" i="21"/>
  <c r="D111" i="63"/>
  <c r="O30" i="21" l="1"/>
  <c r="J30" i="21"/>
  <c r="F30" i="21"/>
  <c r="K30" i="21" s="1"/>
  <c r="B8" i="69"/>
  <c r="J79" i="63"/>
  <c r="F79" i="63"/>
  <c r="K79" i="63" s="1"/>
  <c r="J81" i="63"/>
  <c r="F81" i="63"/>
  <c r="K81" i="63" s="1"/>
  <c r="J80" i="63"/>
  <c r="F80" i="63"/>
  <c r="K80" i="63" s="1"/>
  <c r="B11" i="63" l="1"/>
  <c r="C32" i="21"/>
  <c r="F28" i="21"/>
  <c r="K28" i="21" s="1"/>
  <c r="K32" i="21" s="1"/>
  <c r="O28" i="21"/>
  <c r="J28" i="21"/>
  <c r="J32" i="21" s="1"/>
  <c r="B24" i="70"/>
  <c r="C32" i="62"/>
  <c r="J28" i="62"/>
  <c r="J32" i="62" s="1"/>
  <c r="J9" i="63" l="1"/>
  <c r="F9" i="63"/>
  <c r="K9" i="63" s="1"/>
  <c r="E17" i="22"/>
  <c r="I17" i="22"/>
  <c r="J17" i="22" s="1"/>
  <c r="F32" i="21"/>
  <c r="J8" i="63"/>
  <c r="F8" i="63"/>
  <c r="K8" i="63" s="1"/>
  <c r="J10" i="63"/>
  <c r="F10" i="63"/>
  <c r="K10" i="63" s="1"/>
  <c r="J28" i="63"/>
  <c r="J32" i="63" s="1"/>
  <c r="C32" i="63"/>
  <c r="F32" i="63" s="1"/>
  <c r="F28" i="63"/>
  <c r="K28" i="63" s="1"/>
  <c r="K32" i="63" s="1"/>
  <c r="F24" i="63"/>
  <c r="K24" i="63" s="1"/>
  <c r="C11" i="63" l="1"/>
  <c r="F11" i="63" s="1"/>
  <c r="J7" i="63"/>
  <c r="F7" i="63"/>
  <c r="K7" i="63" s="1"/>
  <c r="K11" i="63" s="1"/>
  <c r="O32" i="21"/>
  <c r="C82" i="63"/>
  <c r="J78" i="63"/>
  <c r="J82" i="63" s="1"/>
  <c r="F78" i="63"/>
  <c r="K78" i="63" s="1"/>
  <c r="K82" i="63" s="1"/>
  <c r="J11" i="63" l="1"/>
  <c r="F82" i="63"/>
  <c r="D36" i="63" l="1"/>
  <c r="D67" i="63"/>
  <c r="D108" i="63" s="1"/>
  <c r="B10" i="65" s="1"/>
  <c r="F59" i="63"/>
  <c r="K59" i="63" s="1"/>
  <c r="F17" i="63"/>
  <c r="K17" i="63" s="1"/>
  <c r="D38" i="63"/>
  <c r="D37" i="63"/>
  <c r="P57" i="21" l="1"/>
  <c r="P58" i="21"/>
  <c r="P65" i="21"/>
  <c r="P81" i="21"/>
  <c r="B38" i="63"/>
  <c r="P15" i="21"/>
  <c r="P66" i="21"/>
  <c r="P80" i="21"/>
  <c r="P17" i="21"/>
  <c r="D25" i="63"/>
  <c r="D101" i="63" s="1"/>
  <c r="B15" i="65" s="1"/>
  <c r="P79" i="21"/>
  <c r="J22" i="63"/>
  <c r="F22" i="63"/>
  <c r="K22" i="63" s="1"/>
  <c r="P64" i="21"/>
  <c r="P16" i="21"/>
  <c r="B37" i="63"/>
  <c r="P59" i="21"/>
  <c r="B36" i="63"/>
  <c r="B12" i="65"/>
  <c r="B15" i="66" s="1"/>
  <c r="D60" i="62" l="1"/>
  <c r="D107" i="62" s="1"/>
  <c r="B21" i="67" s="1"/>
  <c r="D71" i="63"/>
  <c r="P23" i="21"/>
  <c r="D71" i="62"/>
  <c r="P49" i="21"/>
  <c r="D71" i="21"/>
  <c r="N81" i="21"/>
  <c r="D52" i="63"/>
  <c r="D106" i="63" s="1"/>
  <c r="D52" i="21"/>
  <c r="P48" i="21"/>
  <c r="D72" i="62"/>
  <c r="B6" i="65"/>
  <c r="N80" i="21"/>
  <c r="J24" i="63"/>
  <c r="N59" i="21"/>
  <c r="D73" i="63"/>
  <c r="B25" i="63"/>
  <c r="D52" i="62"/>
  <c r="D106" i="62" s="1"/>
  <c r="N66" i="21"/>
  <c r="P51" i="21"/>
  <c r="D73" i="21"/>
  <c r="P50" i="21"/>
  <c r="D72" i="21"/>
  <c r="B22" i="67"/>
  <c r="B67" i="63"/>
  <c r="B18" i="65"/>
  <c r="B16" i="66" s="1"/>
  <c r="D73" i="62"/>
  <c r="D60" i="21"/>
  <c r="D72" i="63"/>
  <c r="B25" i="54"/>
  <c r="B35" i="54"/>
  <c r="N58" i="21"/>
  <c r="P22" i="21"/>
  <c r="N79" i="21"/>
  <c r="B9" i="64"/>
  <c r="J66" i="63"/>
  <c r="F66" i="63"/>
  <c r="K66" i="63" s="1"/>
  <c r="P24" i="21"/>
  <c r="N57" i="21" l="1"/>
  <c r="N64" i="21"/>
  <c r="P73" i="21"/>
  <c r="B73" i="62"/>
  <c r="J65" i="63"/>
  <c r="F65" i="63"/>
  <c r="K65" i="63" s="1"/>
  <c r="D35" i="62"/>
  <c r="B19" i="54"/>
  <c r="D38" i="62"/>
  <c r="C18" i="30"/>
  <c r="C7" i="30" s="1"/>
  <c r="D11" i="62"/>
  <c r="D99" i="62" s="1"/>
  <c r="B14" i="71"/>
  <c r="N16" i="21"/>
  <c r="D60" i="63"/>
  <c r="D107" i="63" s="1"/>
  <c r="B11" i="69" s="1"/>
  <c r="D67" i="62"/>
  <c r="D108" i="62" s="1"/>
  <c r="B21" i="64" s="1"/>
  <c r="B22" i="64"/>
  <c r="D38" i="21"/>
  <c r="P10" i="21"/>
  <c r="B13" i="71"/>
  <c r="D109" i="62"/>
  <c r="D82" i="62"/>
  <c r="D70" i="63"/>
  <c r="N15" i="21"/>
  <c r="J64" i="63"/>
  <c r="F64" i="63"/>
  <c r="K64" i="63" s="1"/>
  <c r="D18" i="21"/>
  <c r="P14" i="21"/>
  <c r="D70" i="62"/>
  <c r="D36" i="62"/>
  <c r="N65" i="21"/>
  <c r="B11" i="72"/>
  <c r="D109" i="63"/>
  <c r="N17" i="21"/>
  <c r="P63" i="21"/>
  <c r="D67" i="21"/>
  <c r="D18" i="63"/>
  <c r="D100" i="63" s="1"/>
  <c r="D35" i="63"/>
  <c r="B60" i="62"/>
  <c r="P7" i="21"/>
  <c r="D11" i="21"/>
  <c r="D35" i="21"/>
  <c r="P8" i="21"/>
  <c r="D36" i="21"/>
  <c r="P56" i="21"/>
  <c r="P72" i="21"/>
  <c r="B72" i="62"/>
  <c r="D106" i="21"/>
  <c r="P52" i="21"/>
  <c r="B28" i="67"/>
  <c r="P78" i="21"/>
  <c r="D82" i="21"/>
  <c r="B5" i="64"/>
  <c r="D37" i="62"/>
  <c r="D107" i="21"/>
  <c r="P107" i="21" s="1"/>
  <c r="P60" i="21"/>
  <c r="B53" i="67"/>
  <c r="D70" i="21"/>
  <c r="P71" i="21"/>
  <c r="J23" i="63"/>
  <c r="F23" i="63"/>
  <c r="K23" i="63" s="1"/>
  <c r="D18" i="62"/>
  <c r="D100" i="62" s="1"/>
  <c r="B52" i="67" s="1"/>
  <c r="D37" i="21"/>
  <c r="P9" i="21"/>
  <c r="N23" i="21" l="1"/>
  <c r="B60" i="21"/>
  <c r="P38" i="21"/>
  <c r="B38" i="22"/>
  <c r="D39" i="63"/>
  <c r="K21" i="57"/>
  <c r="B22" i="57"/>
  <c r="B38" i="62"/>
  <c r="P36" i="21"/>
  <c r="B82" i="54"/>
  <c r="D111" i="62"/>
  <c r="B5" i="65" s="1"/>
  <c r="D28" i="74"/>
  <c r="D23" i="74"/>
  <c r="D74" i="21"/>
  <c r="P70" i="21"/>
  <c r="B18" i="62"/>
  <c r="B73" i="63"/>
  <c r="P106" i="21"/>
  <c r="D38" i="22"/>
  <c r="B37" i="67"/>
  <c r="B17" i="69"/>
  <c r="D103" i="63"/>
  <c r="B37" i="21"/>
  <c r="D100" i="21"/>
  <c r="P100" i="21" s="1"/>
  <c r="P18" i="21"/>
  <c r="B71" i="54"/>
  <c r="G22" i="57"/>
  <c r="I21" i="57"/>
  <c r="I22" i="57" s="1"/>
  <c r="B54" i="67"/>
  <c r="B82" i="62"/>
  <c r="B10" i="64"/>
  <c r="B87" i="54"/>
  <c r="P35" i="21"/>
  <c r="D39" i="21"/>
  <c r="B14" i="69"/>
  <c r="J59" i="63"/>
  <c r="N51" i="21"/>
  <c r="B73" i="21"/>
  <c r="G15" i="50"/>
  <c r="B45" i="67" s="1"/>
  <c r="H15" i="50"/>
  <c r="D25" i="21"/>
  <c r="P21" i="21"/>
  <c r="B30" i="54"/>
  <c r="B44" i="23"/>
  <c r="B59" i="67"/>
  <c r="B11" i="70" s="1"/>
  <c r="D99" i="21"/>
  <c r="P11" i="21"/>
  <c r="B28" i="64"/>
  <c r="B36" i="62"/>
  <c r="D25" i="62"/>
  <c r="D101" i="62" s="1"/>
  <c r="B39" i="64" s="1"/>
  <c r="B67" i="62"/>
  <c r="B71" i="62"/>
  <c r="P67" i="21"/>
  <c r="D108" i="21"/>
  <c r="P108" i="21" s="1"/>
  <c r="B14" i="72"/>
  <c r="J58" i="62"/>
  <c r="F58" i="62"/>
  <c r="K58" i="62" s="1"/>
  <c r="G36" i="50"/>
  <c r="H36" i="50"/>
  <c r="B14" i="54"/>
  <c r="N24" i="21"/>
  <c r="B9" i="54"/>
  <c r="B72" i="63"/>
  <c r="D74" i="62"/>
  <c r="B31" i="67"/>
  <c r="B71" i="63"/>
  <c r="P37" i="21"/>
  <c r="P82" i="21"/>
  <c r="D111" i="21"/>
  <c r="P111" i="21" s="1"/>
  <c r="B8" i="70"/>
  <c r="D74" i="63"/>
  <c r="B20" i="71"/>
  <c r="B7" i="73" s="1"/>
  <c r="C12" i="49"/>
  <c r="B44" i="67"/>
  <c r="D39" i="62"/>
  <c r="N73" i="21" l="1"/>
  <c r="D103" i="62"/>
  <c r="N8" i="21"/>
  <c r="J58" i="63"/>
  <c r="F58" i="63"/>
  <c r="K58" i="63" s="1"/>
  <c r="B25" i="62"/>
  <c r="J16" i="63"/>
  <c r="J37" i="63" s="1"/>
  <c r="C37" i="63"/>
  <c r="F37" i="63" s="1"/>
  <c r="K37" i="63" s="1"/>
  <c r="F16" i="63"/>
  <c r="K16" i="63" s="1"/>
  <c r="B40" i="64"/>
  <c r="F52" i="47"/>
  <c r="B46" i="64"/>
  <c r="B10" i="66" s="1"/>
  <c r="B8" i="66"/>
  <c r="J15" i="63"/>
  <c r="J36" i="63" s="1"/>
  <c r="C36" i="63"/>
  <c r="F36" i="63" s="1"/>
  <c r="K36" i="63" s="1"/>
  <c r="F15" i="63"/>
  <c r="K15" i="63" s="1"/>
  <c r="J100" i="23"/>
  <c r="B47" i="23"/>
  <c r="P25" i="21"/>
  <c r="D101" i="21"/>
  <c r="P101" i="21" s="1"/>
  <c r="N56" i="21"/>
  <c r="B60" i="63"/>
  <c r="N60" i="21" s="1"/>
  <c r="B18" i="30"/>
  <c r="B7" i="30" s="1"/>
  <c r="B27" i="67"/>
  <c r="H30" i="50"/>
  <c r="G30" i="50"/>
  <c r="B55" i="67" s="1"/>
  <c r="D109" i="21"/>
  <c r="P109" i="21" s="1"/>
  <c r="J17" i="62"/>
  <c r="F17" i="62"/>
  <c r="K17" i="62" s="1"/>
  <c r="B18" i="21"/>
  <c r="N14" i="21"/>
  <c r="B57" i="23"/>
  <c r="J79" i="62"/>
  <c r="F79" i="62"/>
  <c r="K79" i="62" s="1"/>
  <c r="E36" i="75"/>
  <c r="E36" i="51"/>
  <c r="G37" i="50"/>
  <c r="H37" i="50"/>
  <c r="B25" i="70"/>
  <c r="F59" i="21"/>
  <c r="K59" i="21" s="1"/>
  <c r="J59" i="21"/>
  <c r="O59" i="21"/>
  <c r="P39" i="21"/>
  <c r="J80" i="62"/>
  <c r="F80" i="62"/>
  <c r="K80" i="62" s="1"/>
  <c r="B58" i="67"/>
  <c r="B52" i="63"/>
  <c r="B70" i="63"/>
  <c r="B74" i="63" s="1"/>
  <c r="B82" i="21"/>
  <c r="N78" i="21"/>
  <c r="H13" i="50"/>
  <c r="G13" i="50"/>
  <c r="B6" i="64" s="1"/>
  <c r="J21" i="63"/>
  <c r="J25" i="63" s="1"/>
  <c r="C25" i="63"/>
  <c r="F25" i="63" s="1"/>
  <c r="F21" i="63"/>
  <c r="K21" i="63" s="1"/>
  <c r="K25" i="63" s="1"/>
  <c r="C13" i="49"/>
  <c r="F51" i="47" s="1"/>
  <c r="B31" i="64"/>
  <c r="P74" i="21"/>
  <c r="C17" i="30"/>
  <c r="C6" i="30" s="1"/>
  <c r="B52" i="21"/>
  <c r="N48" i="21"/>
  <c r="B70" i="21"/>
  <c r="P99" i="21"/>
  <c r="J17" i="63"/>
  <c r="J38" i="63" s="1"/>
  <c r="C38" i="63"/>
  <c r="F38" i="63" s="1"/>
  <c r="K38" i="63" s="1"/>
  <c r="K15" i="57"/>
  <c r="B76" i="54"/>
  <c r="B53" i="23"/>
  <c r="B20" i="69"/>
  <c r="B26" i="70" s="1"/>
  <c r="N50" i="21"/>
  <c r="B72" i="21"/>
  <c r="B49" i="67"/>
  <c r="B10" i="70" s="1"/>
  <c r="B38" i="67"/>
  <c r="B9" i="70" s="1"/>
  <c r="J59" i="62"/>
  <c r="Q59" i="21" s="1"/>
  <c r="F59" i="62"/>
  <c r="K59" i="62" s="1"/>
  <c r="N72" i="21"/>
  <c r="J58" i="21"/>
  <c r="Q58" i="21" s="1"/>
  <c r="O58" i="21"/>
  <c r="F58" i="21"/>
  <c r="K58" i="21" s="1"/>
  <c r="N63" i="21"/>
  <c r="B67" i="21"/>
  <c r="N67" i="21" s="1"/>
  <c r="C22" i="57"/>
  <c r="C30" i="57"/>
  <c r="E15" i="75"/>
  <c r="E15" i="51"/>
  <c r="B47" i="67"/>
  <c r="N49" i="21"/>
  <c r="B71" i="21"/>
  <c r="N71" i="21" s="1"/>
  <c r="B40" i="23"/>
  <c r="B70" i="62"/>
  <c r="B74" i="62" s="1"/>
  <c r="B52" i="62"/>
  <c r="D45" i="67"/>
  <c r="B17" i="30"/>
  <c r="B6" i="30" s="1"/>
  <c r="B18" i="63"/>
  <c r="B35" i="63"/>
  <c r="B39" i="63" s="1"/>
  <c r="B6" i="66"/>
  <c r="J81" i="62"/>
  <c r="F81" i="62"/>
  <c r="K81" i="62" s="1"/>
  <c r="B7" i="65"/>
  <c r="B41" i="64"/>
  <c r="B21" i="73"/>
  <c r="B17" i="72"/>
  <c r="B24" i="72"/>
  <c r="J57" i="62"/>
  <c r="F57" i="62"/>
  <c r="K57" i="62" s="1"/>
  <c r="M21" i="57"/>
  <c r="M22" i="57" s="1"/>
  <c r="K22" i="57"/>
  <c r="B27" i="64"/>
  <c r="D103" i="21" l="1"/>
  <c r="B19" i="71"/>
  <c r="P103" i="21"/>
  <c r="B36" i="64"/>
  <c r="B23" i="74"/>
  <c r="B27" i="70"/>
  <c r="D22" i="57"/>
  <c r="N18" i="21"/>
  <c r="E30" i="51"/>
  <c r="C12" i="59" s="1"/>
  <c r="B57" i="67"/>
  <c r="E30" i="75"/>
  <c r="B38" i="21"/>
  <c r="N38" i="21" s="1"/>
  <c r="N10" i="21"/>
  <c r="F66" i="21"/>
  <c r="K66" i="21" s="1"/>
  <c r="O66" i="21"/>
  <c r="J66" i="21"/>
  <c r="N52" i="21"/>
  <c r="D6" i="64"/>
  <c r="O16" i="21"/>
  <c r="F16" i="21"/>
  <c r="K16" i="21" s="1"/>
  <c r="J16" i="21"/>
  <c r="B19" i="37"/>
  <c r="B20" i="37" s="1"/>
  <c r="J24" i="62"/>
  <c r="F24" i="62"/>
  <c r="K24" i="62" s="1"/>
  <c r="E13" i="51"/>
  <c r="B7" i="64"/>
  <c r="B50" i="64" s="1"/>
  <c r="D12" i="49"/>
  <c r="G15" i="48"/>
  <c r="K15" i="48"/>
  <c r="D22" i="74"/>
  <c r="D27" i="74"/>
  <c r="H31" i="50"/>
  <c r="G31" i="50"/>
  <c r="B42" i="64" s="1"/>
  <c r="J64" i="21"/>
  <c r="F64" i="21"/>
  <c r="K64" i="21" s="1"/>
  <c r="O64" i="21"/>
  <c r="B7" i="74"/>
  <c r="B4" i="25"/>
  <c r="B7" i="25"/>
  <c r="F7" i="25" s="1"/>
  <c r="J7" i="25" s="1"/>
  <c r="B45" i="64"/>
  <c r="N82" i="21"/>
  <c r="E22" i="57"/>
  <c r="G36" i="48"/>
  <c r="K36" i="48"/>
  <c r="L36" i="48" s="1"/>
  <c r="H107" i="23"/>
  <c r="B59" i="23"/>
  <c r="N21" i="21"/>
  <c r="B25" i="21"/>
  <c r="N25" i="21" s="1"/>
  <c r="J66" i="62"/>
  <c r="F66" i="62"/>
  <c r="K66" i="62" s="1"/>
  <c r="F27" i="47"/>
  <c r="H5" i="72"/>
  <c r="H11" i="72"/>
  <c r="D6" i="74"/>
  <c r="D11" i="74"/>
  <c r="B11" i="21"/>
  <c r="B35" i="21"/>
  <c r="N7" i="21"/>
  <c r="B22" i="72"/>
  <c r="B25" i="73"/>
  <c r="H17" i="72"/>
  <c r="F79" i="21"/>
  <c r="K79" i="21" s="1"/>
  <c r="O79" i="21"/>
  <c r="J79" i="21"/>
  <c r="Q79" i="21" s="1"/>
  <c r="N22" i="21"/>
  <c r="B36" i="21"/>
  <c r="N36" i="21" s="1"/>
  <c r="G30" i="48"/>
  <c r="K30" i="48"/>
  <c r="J50" i="62"/>
  <c r="C72" i="62"/>
  <c r="F50" i="62"/>
  <c r="K50" i="62" s="1"/>
  <c r="J21" i="82"/>
  <c r="J21" i="84"/>
  <c r="C73" i="21"/>
  <c r="O51" i="21"/>
  <c r="J51" i="21"/>
  <c r="F51" i="21"/>
  <c r="K51" i="21" s="1"/>
  <c r="J16" i="62"/>
  <c r="F16" i="62"/>
  <c r="K16" i="62" s="1"/>
  <c r="J57" i="63"/>
  <c r="F57" i="63"/>
  <c r="K57" i="63" s="1"/>
  <c r="D57" i="23"/>
  <c r="O81" i="21"/>
  <c r="F81" i="21"/>
  <c r="K81" i="21" s="1"/>
  <c r="J81" i="21"/>
  <c r="Q81" i="21" s="1"/>
  <c r="B37" i="62"/>
  <c r="N37" i="21" s="1"/>
  <c r="N9" i="21"/>
  <c r="J65" i="62"/>
  <c r="F65" i="62"/>
  <c r="K65" i="62" s="1"/>
  <c r="B22" i="73"/>
  <c r="H81" i="54"/>
  <c r="D81" i="54"/>
  <c r="C82" i="54"/>
  <c r="D82" i="54" s="1"/>
  <c r="B46" i="23"/>
  <c r="J99" i="23"/>
  <c r="D7" i="74"/>
  <c r="D12" i="74"/>
  <c r="C67" i="63"/>
  <c r="J63" i="63"/>
  <c r="J67" i="63" s="1"/>
  <c r="F63" i="63"/>
  <c r="K63" i="63" s="1"/>
  <c r="K67" i="63" s="1"/>
  <c r="B29" i="69"/>
  <c r="B60" i="23"/>
  <c r="B61" i="23" s="1"/>
  <c r="H108" i="23" s="1"/>
  <c r="B14" i="66"/>
  <c r="B20" i="65"/>
  <c r="F57" i="21"/>
  <c r="K57" i="21" s="1"/>
  <c r="J57" i="21"/>
  <c r="O57" i="21"/>
  <c r="B75" i="67"/>
  <c r="B74" i="21"/>
  <c r="N70" i="21"/>
  <c r="J80" i="21"/>
  <c r="Q80" i="21" s="1"/>
  <c r="F80" i="21"/>
  <c r="K80" i="21" s="1"/>
  <c r="O80" i="21"/>
  <c r="G13" i="48"/>
  <c r="K13" i="48"/>
  <c r="J64" i="62"/>
  <c r="F64" i="62"/>
  <c r="K64" i="62" s="1"/>
  <c r="J15" i="62"/>
  <c r="F15" i="62"/>
  <c r="K15" i="62" s="1"/>
  <c r="B11" i="62"/>
  <c r="N11" i="21" s="1"/>
  <c r="B35" i="62"/>
  <c r="B39" i="62" s="1"/>
  <c r="B23" i="69"/>
  <c r="E37" i="75"/>
  <c r="E38" i="75" s="1"/>
  <c r="E54" i="75" s="1"/>
  <c r="E37" i="51"/>
  <c r="G16" i="50"/>
  <c r="B32" i="64" s="1"/>
  <c r="H16" i="50"/>
  <c r="J51" i="62"/>
  <c r="C73" i="62"/>
  <c r="F51" i="62"/>
  <c r="K51" i="62" s="1"/>
  <c r="D55" i="67"/>
  <c r="D32" i="64" l="1"/>
  <c r="I27" i="47"/>
  <c r="H18" i="69"/>
  <c r="J18" i="69" s="1"/>
  <c r="H5" i="69"/>
  <c r="H11" i="69"/>
  <c r="H17" i="69"/>
  <c r="I81" i="54"/>
  <c r="H82" i="54"/>
  <c r="I82" i="54" s="1"/>
  <c r="I37" i="22"/>
  <c r="E37" i="22"/>
  <c r="F27" i="74"/>
  <c r="C36" i="21"/>
  <c r="D13" i="49"/>
  <c r="G16" i="48"/>
  <c r="K16" i="48"/>
  <c r="J8" i="21"/>
  <c r="F8" i="21"/>
  <c r="K8" i="21" s="1"/>
  <c r="K37" i="48"/>
  <c r="L37" i="48" s="1"/>
  <c r="G37" i="48"/>
  <c r="Q57" i="21"/>
  <c r="C28" i="57"/>
  <c r="F11" i="74"/>
  <c r="E12" i="49"/>
  <c r="I12" i="49"/>
  <c r="J12" i="49" s="1"/>
  <c r="J48" i="63"/>
  <c r="C52" i="63"/>
  <c r="F48" i="63"/>
  <c r="K48" i="63" s="1"/>
  <c r="F20" i="37"/>
  <c r="J20" i="37" s="1"/>
  <c r="K20" i="37" s="1"/>
  <c r="B21" i="37"/>
  <c r="B36" i="70"/>
  <c r="F23" i="74"/>
  <c r="B28" i="74"/>
  <c r="D39" i="74" s="1"/>
  <c r="B27" i="69"/>
  <c r="B30" i="70"/>
  <c r="H23" i="69"/>
  <c r="N74" i="21"/>
  <c r="C70" i="21"/>
  <c r="O48" i="21"/>
  <c r="F48" i="21"/>
  <c r="K48" i="21" s="1"/>
  <c r="C52" i="21"/>
  <c r="J48" i="21"/>
  <c r="J72" i="62"/>
  <c r="F72" i="62"/>
  <c r="K72" i="62" s="1"/>
  <c r="C52" i="62"/>
  <c r="J48" i="62"/>
  <c r="F48" i="62"/>
  <c r="K48" i="62" s="1"/>
  <c r="O56" i="21"/>
  <c r="F56" i="21"/>
  <c r="K56" i="21" s="1"/>
  <c r="K60" i="21" s="1"/>
  <c r="J56" i="21"/>
  <c r="C60" i="21"/>
  <c r="D93" i="63"/>
  <c r="D93" i="62"/>
  <c r="J24" i="82"/>
  <c r="B32" i="73"/>
  <c r="F73" i="21"/>
  <c r="K73" i="21" s="1"/>
  <c r="J73" i="21"/>
  <c r="D94" i="63"/>
  <c r="D94" i="62"/>
  <c r="J73" i="62"/>
  <c r="F73" i="62"/>
  <c r="K73" i="62" s="1"/>
  <c r="L13" i="48"/>
  <c r="F5" i="64"/>
  <c r="C38" i="62"/>
  <c r="F38" i="62" s="1"/>
  <c r="K38" i="62" s="1"/>
  <c r="J10" i="62"/>
  <c r="J38" i="62" s="1"/>
  <c r="F10" i="62"/>
  <c r="K10" i="62" s="1"/>
  <c r="C34" i="54"/>
  <c r="L27" i="47"/>
  <c r="L64" i="47" s="1"/>
  <c r="H16" i="65"/>
  <c r="J16" i="65" s="1"/>
  <c r="H10" i="65"/>
  <c r="H15" i="65"/>
  <c r="H6" i="65"/>
  <c r="H5" i="65"/>
  <c r="B7" i="37"/>
  <c r="D60" i="23"/>
  <c r="J57" i="23"/>
  <c r="F57" i="23"/>
  <c r="H86" i="54"/>
  <c r="D53" i="23"/>
  <c r="C87" i="54"/>
  <c r="D87" i="54" s="1"/>
  <c r="D86" i="54"/>
  <c r="F18" i="37"/>
  <c r="J49" i="63"/>
  <c r="C71" i="63"/>
  <c r="F49" i="63"/>
  <c r="K49" i="63" s="1"/>
  <c r="Q64" i="21"/>
  <c r="D42" i="64"/>
  <c r="J51" i="63"/>
  <c r="Q51" i="21" s="1"/>
  <c r="C73" i="63"/>
  <c r="F51" i="63"/>
  <c r="K51" i="63" s="1"/>
  <c r="B9" i="66"/>
  <c r="E7" i="22"/>
  <c r="I7" i="22"/>
  <c r="B13" i="37"/>
  <c r="B14" i="37" s="1"/>
  <c r="B30" i="73"/>
  <c r="F7" i="74"/>
  <c r="B12" i="74"/>
  <c r="E31" i="51"/>
  <c r="E31" i="75"/>
  <c r="B44" i="64"/>
  <c r="B54" i="64" s="1"/>
  <c r="J22" i="62"/>
  <c r="F22" i="62"/>
  <c r="K22" i="62" s="1"/>
  <c r="J50" i="21"/>
  <c r="F50" i="21"/>
  <c r="K50" i="21" s="1"/>
  <c r="O50" i="21"/>
  <c r="C72" i="21"/>
  <c r="Q66" i="21"/>
  <c r="B76" i="67"/>
  <c r="B17" i="66"/>
  <c r="I20" i="22"/>
  <c r="E20" i="22"/>
  <c r="H70" i="54"/>
  <c r="D70" i="54"/>
  <c r="C107" i="54"/>
  <c r="F107" i="54" s="1"/>
  <c r="C71" i="54"/>
  <c r="D71" i="54" s="1"/>
  <c r="F54" i="67"/>
  <c r="D54" i="67" s="1"/>
  <c r="L30" i="48"/>
  <c r="I10" i="22"/>
  <c r="E10" i="22"/>
  <c r="J49" i="62"/>
  <c r="C71" i="62"/>
  <c r="F49" i="62"/>
  <c r="K49" i="62" s="1"/>
  <c r="B38" i="78"/>
  <c r="F38" i="78" s="1"/>
  <c r="B30" i="78"/>
  <c r="F30" i="78" s="1"/>
  <c r="O15" i="21"/>
  <c r="J15" i="21"/>
  <c r="F15" i="21"/>
  <c r="K15" i="21" s="1"/>
  <c r="J50" i="63"/>
  <c r="C72" i="63"/>
  <c r="F50" i="63"/>
  <c r="K50" i="63" s="1"/>
  <c r="F49" i="21"/>
  <c r="K49" i="21" s="1"/>
  <c r="O49" i="21"/>
  <c r="J49" i="21"/>
  <c r="C71" i="21"/>
  <c r="J9" i="21"/>
  <c r="F9" i="21"/>
  <c r="K9" i="21" s="1"/>
  <c r="C37" i="21"/>
  <c r="O9" i="21"/>
  <c r="E16" i="51"/>
  <c r="E16" i="75"/>
  <c r="B34" i="64"/>
  <c r="B48" i="23"/>
  <c r="L104" i="23"/>
  <c r="K31" i="48"/>
  <c r="G31" i="48"/>
  <c r="B39" i="21"/>
  <c r="N35" i="21"/>
  <c r="F64" i="47"/>
  <c r="C70" i="62"/>
  <c r="J56" i="62"/>
  <c r="J60" i="62" s="1"/>
  <c r="C60" i="62"/>
  <c r="F56" i="62"/>
  <c r="K56" i="62" s="1"/>
  <c r="K60" i="62" s="1"/>
  <c r="J23" i="62"/>
  <c r="F23" i="62"/>
  <c r="K23" i="62" s="1"/>
  <c r="L15" i="48"/>
  <c r="F44" i="67"/>
  <c r="E6" i="22"/>
  <c r="I6" i="22"/>
  <c r="F23" i="21"/>
  <c r="K23" i="21" s="1"/>
  <c r="J23" i="21"/>
  <c r="O23" i="21"/>
  <c r="J65" i="21"/>
  <c r="Q65" i="21" s="1"/>
  <c r="F65" i="21"/>
  <c r="K65" i="21" s="1"/>
  <c r="O65" i="21"/>
  <c r="O17" i="21"/>
  <c r="F17" i="21"/>
  <c r="K17" i="21" s="1"/>
  <c r="J17" i="21"/>
  <c r="J25" i="82"/>
  <c r="J37" i="82" s="1"/>
  <c r="E50" i="75" l="1"/>
  <c r="P93" i="21"/>
  <c r="Q49" i="21"/>
  <c r="B24" i="37"/>
  <c r="F36" i="21"/>
  <c r="K36" i="21" s="1"/>
  <c r="D44" i="67"/>
  <c r="C74" i="62"/>
  <c r="J70" i="62"/>
  <c r="F70" i="62"/>
  <c r="K70" i="62" s="1"/>
  <c r="C13" i="59"/>
  <c r="E50" i="51"/>
  <c r="H75" i="54"/>
  <c r="C76" i="54"/>
  <c r="D76" i="54" s="1"/>
  <c r="C109" i="54"/>
  <c r="F109" i="54" s="1"/>
  <c r="D75" i="54"/>
  <c r="B8" i="37"/>
  <c r="B25" i="37"/>
  <c r="F14" i="21"/>
  <c r="K14" i="21" s="1"/>
  <c r="K18" i="21" s="1"/>
  <c r="C18" i="21"/>
  <c r="O14" i="21"/>
  <c r="J14" i="21"/>
  <c r="J18" i="21" s="1"/>
  <c r="O52" i="21"/>
  <c r="C67" i="21"/>
  <c r="J63" i="21"/>
  <c r="O63" i="21"/>
  <c r="F63" i="21"/>
  <c r="K63" i="21" s="1"/>
  <c r="K67" i="21" s="1"/>
  <c r="J52" i="63"/>
  <c r="F9" i="64"/>
  <c r="J37" i="22"/>
  <c r="K15" i="75"/>
  <c r="L15" i="75" s="1"/>
  <c r="G15" i="75"/>
  <c r="F14" i="71"/>
  <c r="H33" i="71"/>
  <c r="J6" i="22"/>
  <c r="F7" i="21"/>
  <c r="K7" i="21" s="1"/>
  <c r="J7" i="21"/>
  <c r="C11" i="21"/>
  <c r="O7" i="21"/>
  <c r="J78" i="62"/>
  <c r="J82" i="62" s="1"/>
  <c r="C82" i="62"/>
  <c r="F78" i="62"/>
  <c r="K78" i="62" s="1"/>
  <c r="K82" i="62" s="1"/>
  <c r="C74" i="21"/>
  <c r="F72" i="21"/>
  <c r="K72" i="21" s="1"/>
  <c r="J72" i="21"/>
  <c r="J71" i="63"/>
  <c r="F71" i="63"/>
  <c r="K71" i="63" s="1"/>
  <c r="I86" i="54"/>
  <c r="H87" i="54"/>
  <c r="I87" i="54" s="1"/>
  <c r="F70" i="21"/>
  <c r="K70" i="21" s="1"/>
  <c r="J70" i="21"/>
  <c r="J56" i="63"/>
  <c r="J60" i="63" s="1"/>
  <c r="C60" i="63"/>
  <c r="F56" i="63"/>
  <c r="K56" i="63" s="1"/>
  <c r="K60" i="63" s="1"/>
  <c r="F6" i="37"/>
  <c r="F12" i="37"/>
  <c r="C36" i="62"/>
  <c r="F36" i="62" s="1"/>
  <c r="K36" i="62" s="1"/>
  <c r="J8" i="62"/>
  <c r="J36" i="62" s="1"/>
  <c r="F8" i="62"/>
  <c r="K8" i="62" s="1"/>
  <c r="K52" i="21"/>
  <c r="C82" i="21"/>
  <c r="O78" i="21"/>
  <c r="J78" i="21"/>
  <c r="F78" i="21"/>
  <c r="K78" i="21" s="1"/>
  <c r="K82" i="21" s="1"/>
  <c r="F37" i="21"/>
  <c r="K37" i="21" s="1"/>
  <c r="F53" i="67"/>
  <c r="D53" i="67" s="1"/>
  <c r="J10" i="22"/>
  <c r="K103" i="23"/>
  <c r="D59" i="23"/>
  <c r="F53" i="23"/>
  <c r="J53" i="23"/>
  <c r="G36" i="75"/>
  <c r="K36" i="75"/>
  <c r="F38" i="75"/>
  <c r="G38" i="75" s="1"/>
  <c r="K57" i="23"/>
  <c r="L24" i="82"/>
  <c r="J24" i="84"/>
  <c r="J60" i="21"/>
  <c r="Q56" i="21"/>
  <c r="J52" i="21"/>
  <c r="Q48" i="21"/>
  <c r="J24" i="21"/>
  <c r="F24" i="21"/>
  <c r="K24" i="21" s="1"/>
  <c r="O24" i="21"/>
  <c r="D90" i="62"/>
  <c r="D90" i="63"/>
  <c r="J60" i="23"/>
  <c r="F60" i="23"/>
  <c r="D5" i="64"/>
  <c r="F28" i="74"/>
  <c r="O8" i="21"/>
  <c r="O22" i="21"/>
  <c r="J22" i="21"/>
  <c r="J36" i="21" s="1"/>
  <c r="F22" i="21"/>
  <c r="K22" i="21" s="1"/>
  <c r="I8" i="22"/>
  <c r="E8" i="22"/>
  <c r="J37" i="21"/>
  <c r="J71" i="62"/>
  <c r="F71" i="62"/>
  <c r="K71" i="62" s="1"/>
  <c r="J20" i="22"/>
  <c r="F6" i="65"/>
  <c r="H23" i="65"/>
  <c r="C38" i="22"/>
  <c r="E38" i="22" s="1"/>
  <c r="E33" i="22"/>
  <c r="I33" i="22"/>
  <c r="Q50" i="21"/>
  <c r="F14" i="37"/>
  <c r="J14" i="37" s="1"/>
  <c r="K14" i="37" s="1"/>
  <c r="B15" i="37"/>
  <c r="C67" i="62"/>
  <c r="J63" i="62"/>
  <c r="J67" i="62" s="1"/>
  <c r="F63" i="62"/>
  <c r="K63" i="62" s="1"/>
  <c r="K67" i="62" s="1"/>
  <c r="K52" i="62"/>
  <c r="J9" i="62"/>
  <c r="J37" i="62" s="1"/>
  <c r="C37" i="62"/>
  <c r="F37" i="62" s="1"/>
  <c r="K37" i="62" s="1"/>
  <c r="F9" i="62"/>
  <c r="K9" i="62" s="1"/>
  <c r="B34" i="70"/>
  <c r="K15" i="51"/>
  <c r="G15" i="51"/>
  <c r="L16" i="48"/>
  <c r="F31" i="64"/>
  <c r="J7" i="62"/>
  <c r="C11" i="62"/>
  <c r="F11" i="62" s="1"/>
  <c r="F7" i="62"/>
  <c r="K7" i="62" s="1"/>
  <c r="K36" i="51"/>
  <c r="G36" i="51"/>
  <c r="J71" i="21"/>
  <c r="F71" i="21"/>
  <c r="K71" i="21" s="1"/>
  <c r="O71" i="21"/>
  <c r="I70" i="54"/>
  <c r="H71" i="54"/>
  <c r="I71" i="54" s="1"/>
  <c r="J14" i="63"/>
  <c r="C18" i="63"/>
  <c r="F18" i="63" s="1"/>
  <c r="C35" i="63"/>
  <c r="F14" i="63"/>
  <c r="K14" i="63" s="1"/>
  <c r="K18" i="63" s="1"/>
  <c r="B39" i="74"/>
  <c r="F12" i="74"/>
  <c r="D91" i="62"/>
  <c r="D91" i="63"/>
  <c r="O73" i="21"/>
  <c r="J73" i="63"/>
  <c r="Q73" i="21" s="1"/>
  <c r="F73" i="63"/>
  <c r="K73" i="63" s="1"/>
  <c r="H34" i="54"/>
  <c r="C35" i="54"/>
  <c r="D35" i="54" s="1"/>
  <c r="J14" i="62"/>
  <c r="J18" i="62" s="1"/>
  <c r="C18" i="62"/>
  <c r="F18" i="62" s="1"/>
  <c r="F14" i="62"/>
  <c r="K14" i="62" s="1"/>
  <c r="K18" i="62" s="1"/>
  <c r="C29" i="54"/>
  <c r="O60" i="21"/>
  <c r="J52" i="62"/>
  <c r="K52" i="63"/>
  <c r="O10" i="21"/>
  <c r="F10" i="21"/>
  <c r="K10" i="21" s="1"/>
  <c r="C38" i="21"/>
  <c r="J10" i="21"/>
  <c r="J38" i="21" s="1"/>
  <c r="N39" i="21"/>
  <c r="F41" i="64"/>
  <c r="D41" i="64" s="1"/>
  <c r="L31" i="48"/>
  <c r="B53" i="64"/>
  <c r="O72" i="21"/>
  <c r="J72" i="63"/>
  <c r="Q72" i="21" s="1"/>
  <c r="F72" i="63"/>
  <c r="K72" i="63" s="1"/>
  <c r="B14" i="78"/>
  <c r="F5" i="25"/>
  <c r="J5" i="25" s="1"/>
  <c r="B7" i="78"/>
  <c r="C24" i="54"/>
  <c r="F22" i="67"/>
  <c r="D22" i="67" s="1"/>
  <c r="J7" i="22"/>
  <c r="C93" i="21"/>
  <c r="J18" i="37"/>
  <c r="P94" i="21"/>
  <c r="C70" i="63"/>
  <c r="O70" i="21" s="1"/>
  <c r="I13" i="49"/>
  <c r="J13" i="49" s="1"/>
  <c r="E13" i="49"/>
  <c r="C35" i="62"/>
  <c r="I64" i="47"/>
  <c r="K11" i="62" l="1"/>
  <c r="P91" i="21"/>
  <c r="Q71" i="21"/>
  <c r="C39" i="62"/>
  <c r="F35" i="62"/>
  <c r="K35" i="62" s="1"/>
  <c r="K39" i="62" s="1"/>
  <c r="K30" i="51"/>
  <c r="G30" i="51"/>
  <c r="C25" i="21"/>
  <c r="J21" i="21"/>
  <c r="J25" i="21" s="1"/>
  <c r="O21" i="21"/>
  <c r="F21" i="21"/>
  <c r="K21" i="21" s="1"/>
  <c r="K25" i="21" s="1"/>
  <c r="O38" i="21"/>
  <c r="F38" i="21"/>
  <c r="K38" i="21" s="1"/>
  <c r="K13" i="51"/>
  <c r="G13" i="51"/>
  <c r="K104" i="23"/>
  <c r="M104" i="23" s="1"/>
  <c r="M103" i="23"/>
  <c r="E9" i="47"/>
  <c r="J33" i="71"/>
  <c r="D14" i="71"/>
  <c r="L24" i="84"/>
  <c r="J37" i="84"/>
  <c r="C35" i="21"/>
  <c r="F18" i="21"/>
  <c r="O18" i="21"/>
  <c r="H18" i="54"/>
  <c r="C19" i="54"/>
  <c r="D19" i="54" s="1"/>
  <c r="D18" i="54"/>
  <c r="C39" i="63"/>
  <c r="F35" i="63"/>
  <c r="K35" i="63" s="1"/>
  <c r="K39" i="63" s="1"/>
  <c r="D31" i="64"/>
  <c r="L36" i="75"/>
  <c r="O37" i="21"/>
  <c r="J82" i="21"/>
  <c r="Q78" i="21"/>
  <c r="J12" i="37"/>
  <c r="O11" i="21"/>
  <c r="F11" i="21"/>
  <c r="D9" i="64"/>
  <c r="J67" i="21"/>
  <c r="Q63" i="21"/>
  <c r="F7" i="78"/>
  <c r="L36" i="51"/>
  <c r="J11" i="62"/>
  <c r="L15" i="51"/>
  <c r="F47" i="67"/>
  <c r="K23" i="47"/>
  <c r="D6" i="65"/>
  <c r="J6" i="65" s="1"/>
  <c r="J23" i="65"/>
  <c r="K23" i="65" s="1"/>
  <c r="K60" i="23"/>
  <c r="P90" i="21"/>
  <c r="G37" i="75"/>
  <c r="K37" i="75"/>
  <c r="F24" i="37"/>
  <c r="D24" i="37" s="1"/>
  <c r="C90" i="21"/>
  <c r="J6" i="37"/>
  <c r="J11" i="21"/>
  <c r="O67" i="21"/>
  <c r="I75" i="54"/>
  <c r="H76" i="54"/>
  <c r="I76" i="54" s="1"/>
  <c r="O36" i="21"/>
  <c r="C25" i="54"/>
  <c r="D25" i="54" s="1"/>
  <c r="H24" i="54"/>
  <c r="C104" i="54"/>
  <c r="F104" i="54" s="1"/>
  <c r="H29" i="54"/>
  <c r="C30" i="54"/>
  <c r="D30" i="54" s="1"/>
  <c r="I34" i="54"/>
  <c r="H35" i="54"/>
  <c r="J18" i="63"/>
  <c r="J35" i="63"/>
  <c r="J39" i="63" s="1"/>
  <c r="D12" i="59"/>
  <c r="I38" i="22"/>
  <c r="J38" i="22" s="1"/>
  <c r="J33" i="22"/>
  <c r="Q52" i="21"/>
  <c r="K53" i="23"/>
  <c r="F82" i="21"/>
  <c r="O82" i="21"/>
  <c r="K11" i="21"/>
  <c r="C25" i="62"/>
  <c r="F25" i="62" s="1"/>
  <c r="J21" i="62"/>
  <c r="J25" i="62" s="1"/>
  <c r="F21" i="62"/>
  <c r="K21" i="62" s="1"/>
  <c r="K25" i="62" s="1"/>
  <c r="C74" i="63"/>
  <c r="J70" i="63"/>
  <c r="J74" i="63" s="1"/>
  <c r="F70" i="63"/>
  <c r="K70" i="63" s="1"/>
  <c r="K74" i="63" s="1"/>
  <c r="F14" i="78"/>
  <c r="G30" i="75"/>
  <c r="K30" i="75"/>
  <c r="L30" i="75" s="1"/>
  <c r="D44" i="23"/>
  <c r="H21" i="82"/>
  <c r="H21" i="84"/>
  <c r="J74" i="21"/>
  <c r="B9" i="37"/>
  <c r="F8" i="37"/>
  <c r="B26" i="37"/>
  <c r="K74" i="62"/>
  <c r="F93" i="21"/>
  <c r="K93" i="21" s="1"/>
  <c r="J93" i="21"/>
  <c r="C93" i="63"/>
  <c r="C93" i="62"/>
  <c r="K37" i="51"/>
  <c r="G37" i="51"/>
  <c r="K18" i="37"/>
  <c r="D48" i="67"/>
  <c r="F48" i="67" s="1"/>
  <c r="D58" i="67"/>
  <c r="F58" i="67" s="1"/>
  <c r="F22" i="64"/>
  <c r="D22" i="64" s="1"/>
  <c r="J8" i="22"/>
  <c r="Q60" i="21"/>
  <c r="F59" i="23"/>
  <c r="D61" i="23"/>
  <c r="F61" i="23" s="1"/>
  <c r="J59" i="23"/>
  <c r="K74" i="21"/>
  <c r="F82" i="62"/>
  <c r="K33" i="71"/>
  <c r="E12" i="59"/>
  <c r="L12" i="59" s="1"/>
  <c r="E11" i="22"/>
  <c r="I11" i="22"/>
  <c r="J74" i="62"/>
  <c r="O74" i="21" l="1"/>
  <c r="J35" i="21"/>
  <c r="J39" i="21" s="1"/>
  <c r="J35" i="62"/>
  <c r="J39" i="62" s="1"/>
  <c r="K12" i="59"/>
  <c r="M12" i="59" s="1"/>
  <c r="N12" i="59" s="1"/>
  <c r="F12" i="59"/>
  <c r="G12" i="59" s="1"/>
  <c r="J11" i="22"/>
  <c r="F40" i="64"/>
  <c r="D40" i="64" s="1"/>
  <c r="K31" i="75"/>
  <c r="G31" i="75"/>
  <c r="L37" i="75"/>
  <c r="D47" i="67"/>
  <c r="F49" i="67"/>
  <c r="K31" i="51"/>
  <c r="G31" i="51"/>
  <c r="L13" i="51"/>
  <c r="F7" i="64"/>
  <c r="I29" i="54"/>
  <c r="H30" i="54"/>
  <c r="I18" i="54"/>
  <c r="H19" i="54"/>
  <c r="D92" i="54"/>
  <c r="Q74" i="21"/>
  <c r="D9" i="67"/>
  <c r="F9" i="67" s="1"/>
  <c r="D37" i="67"/>
  <c r="F37" i="67" s="1"/>
  <c r="I35" i="54"/>
  <c r="K59" i="23"/>
  <c r="J61" i="23"/>
  <c r="K61" i="23" s="1"/>
  <c r="H55" i="54"/>
  <c r="C56" i="54"/>
  <c r="D56" i="54" s="1"/>
  <c r="D55" i="54"/>
  <c r="D45" i="64"/>
  <c r="D35" i="64"/>
  <c r="D49" i="54"/>
  <c r="C50" i="54"/>
  <c r="D50" i="54" s="1"/>
  <c r="H49" i="54"/>
  <c r="L37" i="51"/>
  <c r="L21" i="84"/>
  <c r="D13" i="59"/>
  <c r="G16" i="51"/>
  <c r="K16" i="51"/>
  <c r="F50" i="51"/>
  <c r="J24" i="37"/>
  <c r="K24" i="37" s="1"/>
  <c r="K6" i="37"/>
  <c r="Q67" i="21"/>
  <c r="Q82" i="21"/>
  <c r="K38" i="75"/>
  <c r="L38" i="75" s="1"/>
  <c r="H51" i="64"/>
  <c r="J93" i="62"/>
  <c r="F93" i="62"/>
  <c r="K93" i="62" s="1"/>
  <c r="F26" i="37"/>
  <c r="D26" i="37" s="1"/>
  <c r="J8" i="37"/>
  <c r="Q70" i="21"/>
  <c r="L21" i="82"/>
  <c r="D47" i="23"/>
  <c r="J44" i="23"/>
  <c r="F44" i="23"/>
  <c r="D60" i="54"/>
  <c r="C61" i="54"/>
  <c r="D61" i="54" s="1"/>
  <c r="H60" i="54"/>
  <c r="F25" i="21"/>
  <c r="O25" i="21"/>
  <c r="F57" i="67"/>
  <c r="D57" i="67" s="1"/>
  <c r="L30" i="51"/>
  <c r="O93" i="21"/>
  <c r="J93" i="63"/>
  <c r="F93" i="63"/>
  <c r="K93" i="63" s="1"/>
  <c r="B27" i="37"/>
  <c r="H44" i="54"/>
  <c r="C45" i="54"/>
  <c r="D45" i="54" s="1"/>
  <c r="C94" i="54"/>
  <c r="F94" i="54" s="1"/>
  <c r="D44" i="54"/>
  <c r="C90" i="63"/>
  <c r="F90" i="21"/>
  <c r="K90" i="21" s="1"/>
  <c r="C90" i="62"/>
  <c r="J90" i="21"/>
  <c r="K9" i="47"/>
  <c r="K35" i="47" s="1"/>
  <c r="C39" i="21"/>
  <c r="F35" i="21"/>
  <c r="K35" i="21" s="1"/>
  <c r="K39" i="21" s="1"/>
  <c r="O35" i="21"/>
  <c r="H22" i="66"/>
  <c r="I24" i="54"/>
  <c r="H25" i="54"/>
  <c r="K16" i="75"/>
  <c r="L16" i="75" s="1"/>
  <c r="G16" i="75"/>
  <c r="E13" i="59"/>
  <c r="L13" i="59" s="1"/>
  <c r="E51" i="47" s="1"/>
  <c r="F50" i="75"/>
  <c r="J51" i="64"/>
  <c r="J22" i="66" s="1"/>
  <c r="K12" i="37"/>
  <c r="Q93" i="21" l="1"/>
  <c r="G51" i="47"/>
  <c r="I25" i="54"/>
  <c r="D40" i="23"/>
  <c r="H8" i="54"/>
  <c r="C9" i="54"/>
  <c r="D9" i="54" s="1"/>
  <c r="D8" i="54"/>
  <c r="C91" i="54"/>
  <c r="K8" i="37"/>
  <c r="J26" i="37"/>
  <c r="K26" i="37" s="1"/>
  <c r="F35" i="64"/>
  <c r="I44" i="54"/>
  <c r="H45" i="54"/>
  <c r="I45" i="54" s="1"/>
  <c r="F45" i="64"/>
  <c r="I55" i="54"/>
  <c r="H56" i="54"/>
  <c r="I56" i="54" s="1"/>
  <c r="J90" i="62"/>
  <c r="F90" i="62"/>
  <c r="K90" i="62" s="1"/>
  <c r="K50" i="51"/>
  <c r="L50" i="51" s="1"/>
  <c r="G50" i="51"/>
  <c r="I49" i="54"/>
  <c r="H50" i="54"/>
  <c r="I50" i="54" s="1"/>
  <c r="I60" i="54"/>
  <c r="H61" i="54"/>
  <c r="I61" i="54" s="1"/>
  <c r="F34" i="64"/>
  <c r="L16" i="51"/>
  <c r="G50" i="75"/>
  <c r="K50" i="75"/>
  <c r="L50" i="75" s="1"/>
  <c r="O39" i="21"/>
  <c r="O90" i="21"/>
  <c r="J90" i="63"/>
  <c r="F90" i="63"/>
  <c r="K90" i="63" s="1"/>
  <c r="D13" i="54"/>
  <c r="C14" i="54"/>
  <c r="D14" i="54" s="1"/>
  <c r="H13" i="54"/>
  <c r="K13" i="59"/>
  <c r="M13" i="59" s="1"/>
  <c r="N13" i="59" s="1"/>
  <c r="F13" i="59"/>
  <c r="G13" i="59" s="1"/>
  <c r="I19" i="54"/>
  <c r="H52" i="64"/>
  <c r="F44" i="64"/>
  <c r="D44" i="64" s="1"/>
  <c r="L31" i="51"/>
  <c r="K44" i="23"/>
  <c r="J47" i="23"/>
  <c r="K51" i="64"/>
  <c r="I30" i="54"/>
  <c r="D7" i="64"/>
  <c r="F10" i="64"/>
  <c r="L31" i="75"/>
  <c r="K22" i="66"/>
  <c r="F47" i="23"/>
  <c r="D49" i="67"/>
  <c r="F10" i="70"/>
  <c r="D10" i="70" s="1"/>
  <c r="F6" i="66" l="1"/>
  <c r="D10" i="64"/>
  <c r="D34" i="64"/>
  <c r="F36" i="64"/>
  <c r="K47" i="23"/>
  <c r="L96" i="23"/>
  <c r="L97" i="23" s="1"/>
  <c r="C92" i="54"/>
  <c r="F92" i="54" s="1"/>
  <c r="F91" i="54"/>
  <c r="H25" i="82"/>
  <c r="H25" i="84"/>
  <c r="H9" i="82"/>
  <c r="H9" i="84"/>
  <c r="I8" i="54"/>
  <c r="H9" i="54"/>
  <c r="D27" i="64"/>
  <c r="D17" i="64"/>
  <c r="I13" i="54"/>
  <c r="H14" i="54"/>
  <c r="K96" i="23"/>
  <c r="F40" i="23"/>
  <c r="J40" i="23"/>
  <c r="D46" i="23"/>
  <c r="Q90" i="21"/>
  <c r="C24" i="42" l="1"/>
  <c r="M96" i="23"/>
  <c r="K97" i="23"/>
  <c r="M97" i="23" s="1"/>
  <c r="I9" i="54"/>
  <c r="H34" i="71"/>
  <c r="I14" i="54"/>
  <c r="H73" i="67"/>
  <c r="D17" i="67"/>
  <c r="F17" i="67" s="1"/>
  <c r="D27" i="67"/>
  <c r="F27" i="67" s="1"/>
  <c r="D6" i="66"/>
  <c r="F46" i="23"/>
  <c r="D48" i="23"/>
  <c r="F48" i="23" s="1"/>
  <c r="B25" i="84"/>
  <c r="F25" i="84" s="1"/>
  <c r="L25" i="84"/>
  <c r="F17" i="64"/>
  <c r="K40" i="23"/>
  <c r="J46" i="23"/>
  <c r="F27" i="64"/>
  <c r="L25" i="82"/>
  <c r="B25" i="82"/>
  <c r="D36" i="64"/>
  <c r="F9" i="66"/>
  <c r="D9" i="66" s="1"/>
  <c r="J52" i="64" l="1"/>
  <c r="K10" i="47"/>
  <c r="K46" i="23"/>
  <c r="J48" i="23"/>
  <c r="K48" i="23" s="1"/>
  <c r="J73" i="67"/>
  <c r="H10" i="47"/>
  <c r="D19" i="71"/>
  <c r="D9" i="71"/>
  <c r="F19" i="71" l="1"/>
  <c r="K73" i="67"/>
  <c r="F9" i="71"/>
  <c r="K52" i="64"/>
  <c r="E10" i="47" l="1"/>
  <c r="J34" i="71"/>
  <c r="K34" i="71" l="1"/>
  <c r="B87" i="32" l="1"/>
  <c r="B5" i="55" l="1"/>
  <c r="B76" i="32"/>
  <c r="B17" i="65" s="1"/>
  <c r="H17" i="65" s="1"/>
  <c r="L15" i="57"/>
  <c r="P21" i="84"/>
  <c r="P37" i="84" s="1"/>
  <c r="I15" i="57"/>
  <c r="F7" i="80"/>
  <c r="B82" i="32" l="1"/>
  <c r="B26" i="23"/>
  <c r="F36" i="78"/>
  <c r="F28" i="78"/>
  <c r="B10" i="76"/>
  <c r="C7" i="76" s="1"/>
  <c r="B25" i="76"/>
  <c r="B71" i="32"/>
  <c r="B19" i="69" s="1"/>
  <c r="H19" i="69" s="1"/>
  <c r="B22" i="23"/>
  <c r="P21" i="82"/>
  <c r="P37" i="82" s="1"/>
  <c r="M15" i="57"/>
  <c r="B19" i="76"/>
  <c r="C17" i="76" s="1"/>
  <c r="C16" i="76"/>
  <c r="B26" i="76"/>
  <c r="C8" i="76"/>
  <c r="H36" i="78"/>
  <c r="H28" i="78"/>
  <c r="H7" i="80"/>
  <c r="B27" i="76"/>
  <c r="C9" i="76"/>
  <c r="B107" i="23" l="1"/>
  <c r="B28" i="23"/>
  <c r="B84" i="23"/>
  <c r="B90" i="23" s="1"/>
  <c r="D4" i="25"/>
  <c r="C19" i="76"/>
  <c r="C87" i="32"/>
  <c r="D87" i="32" s="1"/>
  <c r="D86" i="32"/>
  <c r="H86" i="32"/>
  <c r="B29" i="23"/>
  <c r="B88" i="23"/>
  <c r="B91" i="23" s="1"/>
  <c r="B92" i="23" s="1"/>
  <c r="H75" i="32"/>
  <c r="C109" i="32"/>
  <c r="F109" i="32" s="1"/>
  <c r="C76" i="32"/>
  <c r="D76" i="32" s="1"/>
  <c r="D75" i="32"/>
  <c r="D25" i="82"/>
  <c r="F25" i="82" s="1"/>
  <c r="D24" i="82"/>
  <c r="D21" i="84"/>
  <c r="D21" i="82"/>
  <c r="D37" i="82" s="1"/>
  <c r="D17" i="84"/>
  <c r="D17" i="82"/>
  <c r="B28" i="76"/>
  <c r="B15" i="77" s="1"/>
  <c r="C18" i="76"/>
  <c r="B35" i="32"/>
  <c r="C10" i="76"/>
  <c r="B19" i="32" l="1"/>
  <c r="B11" i="65" s="1"/>
  <c r="H11" i="65" s="1"/>
  <c r="H81" i="32"/>
  <c r="D81" i="32"/>
  <c r="C82" i="32"/>
  <c r="D82" i="32" s="1"/>
  <c r="D26" i="23"/>
  <c r="I51" i="47"/>
  <c r="L51" i="47" s="1"/>
  <c r="B25" i="77" s="1"/>
  <c r="B30" i="23"/>
  <c r="B108" i="23" s="1"/>
  <c r="C27" i="76"/>
  <c r="H87" i="32"/>
  <c r="I87" i="32" s="1"/>
  <c r="I86" i="32"/>
  <c r="C26" i="76"/>
  <c r="F24" i="82"/>
  <c r="D24" i="84"/>
  <c r="F24" i="84" s="1"/>
  <c r="I75" i="32"/>
  <c r="H76" i="32"/>
  <c r="C25" i="76"/>
  <c r="C28" i="76" s="1"/>
  <c r="D6" i="25"/>
  <c r="J9" i="80" s="1"/>
  <c r="J30" i="78"/>
  <c r="J38" i="78"/>
  <c r="F4" i="25"/>
  <c r="J4" i="25" s="1"/>
  <c r="B7" i="77" s="1"/>
  <c r="J10" i="80" l="1"/>
  <c r="J11" i="80"/>
  <c r="J26" i="23"/>
  <c r="D29" i="23"/>
  <c r="F26" i="23"/>
  <c r="D88" i="23"/>
  <c r="B25" i="32"/>
  <c r="J39" i="78"/>
  <c r="J40" i="78" s="1"/>
  <c r="L38" i="78"/>
  <c r="J31" i="78"/>
  <c r="J32" i="78" s="1"/>
  <c r="L30" i="78"/>
  <c r="I76" i="32"/>
  <c r="F17" i="65"/>
  <c r="D17" i="65" s="1"/>
  <c r="J17" i="65" s="1"/>
  <c r="I81" i="32"/>
  <c r="H82" i="32"/>
  <c r="I82" i="32" s="1"/>
  <c r="B61" i="32"/>
  <c r="B56" i="32"/>
  <c r="D37" i="84"/>
  <c r="B45" i="32"/>
  <c r="B13" i="72" s="1"/>
  <c r="H13" i="72" s="1"/>
  <c r="D22" i="23"/>
  <c r="D70" i="32"/>
  <c r="C71" i="32"/>
  <c r="D71" i="32" s="1"/>
  <c r="H70" i="32"/>
  <c r="C107" i="32"/>
  <c r="F107" i="32" s="1"/>
  <c r="F88" i="23" l="1"/>
  <c r="D91" i="23"/>
  <c r="F91" i="23" s="1"/>
  <c r="F22" i="23"/>
  <c r="D103" i="23"/>
  <c r="H103" i="23" s="1"/>
  <c r="J22" i="23"/>
  <c r="D28" i="23"/>
  <c r="D84" i="23"/>
  <c r="F29" i="23"/>
  <c r="J29" i="23"/>
  <c r="K26" i="23"/>
  <c r="J88" i="23"/>
  <c r="B21" i="82"/>
  <c r="B21" i="84"/>
  <c r="B9" i="32"/>
  <c r="I70" i="32"/>
  <c r="H71" i="32"/>
  <c r="B12" i="72" l="1"/>
  <c r="H12" i="72" s="1"/>
  <c r="K22" i="23"/>
  <c r="J84" i="23"/>
  <c r="C34" i="32"/>
  <c r="K29" i="23"/>
  <c r="H51" i="47"/>
  <c r="L8" i="57"/>
  <c r="I8" i="57"/>
  <c r="F21" i="84"/>
  <c r="B37" i="84"/>
  <c r="B30" i="32"/>
  <c r="I29" i="32"/>
  <c r="B13" i="23"/>
  <c r="F21" i="82"/>
  <c r="B37" i="82"/>
  <c r="K88" i="23"/>
  <c r="J91" i="23"/>
  <c r="K91" i="23" s="1"/>
  <c r="F84" i="23"/>
  <c r="D90" i="23"/>
  <c r="I71" i="32"/>
  <c r="F19" i="69"/>
  <c r="D19" i="69" s="1"/>
  <c r="J19" i="69" s="1"/>
  <c r="N21" i="82"/>
  <c r="N21" i="84"/>
  <c r="J28" i="23"/>
  <c r="F28" i="23"/>
  <c r="D30" i="23"/>
  <c r="B100" i="23" l="1"/>
  <c r="B16" i="23"/>
  <c r="I50" i="47" s="1"/>
  <c r="I53" i="47" s="1"/>
  <c r="B75" i="23"/>
  <c r="B78" i="23" s="1"/>
  <c r="C35" i="32"/>
  <c r="D35" i="32" s="1"/>
  <c r="H34" i="32"/>
  <c r="K84" i="23"/>
  <c r="J90" i="23"/>
  <c r="P31" i="82"/>
  <c r="P31" i="84"/>
  <c r="P32" i="84"/>
  <c r="P32" i="82"/>
  <c r="D30" i="32"/>
  <c r="I30" i="32"/>
  <c r="K28" i="23"/>
  <c r="J30" i="23"/>
  <c r="K30" i="23" s="1"/>
  <c r="D104" i="23"/>
  <c r="H104" i="23" s="1"/>
  <c r="F30" i="23"/>
  <c r="D92" i="23"/>
  <c r="F90" i="23"/>
  <c r="J51" i="47"/>
  <c r="K51" i="47"/>
  <c r="R21" i="84"/>
  <c r="H37" i="84"/>
  <c r="R21" i="82"/>
  <c r="H37" i="82"/>
  <c r="P9" i="84"/>
  <c r="P36" i="84" s="1"/>
  <c r="P9" i="82"/>
  <c r="P36" i="82" s="1"/>
  <c r="B50" i="32" l="1"/>
  <c r="B13" i="69" s="1"/>
  <c r="H13" i="69" s="1"/>
  <c r="C19" i="32"/>
  <c r="D19" i="32" s="1"/>
  <c r="H18" i="32"/>
  <c r="D18" i="32"/>
  <c r="H35" i="32"/>
  <c r="I35" i="32" s="1"/>
  <c r="I34" i="32"/>
  <c r="M51" i="47"/>
  <c r="P34" i="84"/>
  <c r="P34" i="82"/>
  <c r="K90" i="23"/>
  <c r="J92" i="23"/>
  <c r="K92" i="23" s="1"/>
  <c r="C24" i="32"/>
  <c r="F92" i="23"/>
  <c r="H19" i="32" l="1"/>
  <c r="I18" i="32"/>
  <c r="C25" i="32"/>
  <c r="D25" i="32" s="1"/>
  <c r="H24" i="32"/>
  <c r="C104" i="32"/>
  <c r="D13" i="23"/>
  <c r="D16" i="23" l="1"/>
  <c r="J13" i="23"/>
  <c r="F13" i="23"/>
  <c r="D75" i="23"/>
  <c r="I24" i="32"/>
  <c r="H25" i="32"/>
  <c r="I25" i="32" s="1"/>
  <c r="B14" i="32"/>
  <c r="B9" i="23"/>
  <c r="F11" i="65"/>
  <c r="I19" i="32"/>
  <c r="H24" i="65"/>
  <c r="H23" i="66"/>
  <c r="J16" i="23" l="1"/>
  <c r="K13" i="23"/>
  <c r="B9" i="84"/>
  <c r="B9" i="82"/>
  <c r="J75" i="23"/>
  <c r="F16" i="23"/>
  <c r="I9" i="57"/>
  <c r="I10" i="57" s="1"/>
  <c r="L9" i="57"/>
  <c r="L10" i="57" s="1"/>
  <c r="H10" i="57"/>
  <c r="J24" i="65"/>
  <c r="D11" i="65"/>
  <c r="J11" i="65" s="1"/>
  <c r="K24" i="47"/>
  <c r="K36" i="47" s="1"/>
  <c r="B99" i="23"/>
  <c r="B15" i="23"/>
  <c r="B17" i="23" s="1"/>
  <c r="B71" i="23"/>
  <c r="B77" i="23" s="1"/>
  <c r="B79" i="23" s="1"/>
  <c r="B12" i="69"/>
  <c r="H12" i="69" s="1"/>
  <c r="D78" i="23"/>
  <c r="F75" i="23"/>
  <c r="B36" i="82" l="1"/>
  <c r="B36" i="84"/>
  <c r="K24" i="65"/>
  <c r="J23" i="66"/>
  <c r="K23" i="66" s="1"/>
  <c r="N9" i="82"/>
  <c r="N9" i="84"/>
  <c r="H50" i="47"/>
  <c r="K16" i="23"/>
  <c r="F78" i="23"/>
  <c r="J78" i="23"/>
  <c r="K75" i="23"/>
  <c r="R9" i="84" l="1"/>
  <c r="R15" i="84" s="1"/>
  <c r="N31" i="84" s="1"/>
  <c r="R31" i="84" s="1"/>
  <c r="H36" i="84"/>
  <c r="J50" i="47"/>
  <c r="R9" i="82"/>
  <c r="R15" i="82" s="1"/>
  <c r="N31" i="82" s="1"/>
  <c r="R31" i="82" s="1"/>
  <c r="H36" i="82"/>
  <c r="K78" i="23"/>
  <c r="F104" i="32" l="1"/>
  <c r="J65" i="47"/>
  <c r="D60" i="32" l="1"/>
  <c r="C61" i="32"/>
  <c r="D61" i="32" s="1"/>
  <c r="H60" i="32"/>
  <c r="D44" i="32"/>
  <c r="C45" i="32"/>
  <c r="D45" i="32" s="1"/>
  <c r="H44" i="32"/>
  <c r="C94" i="32"/>
  <c r="F94" i="32" s="1"/>
  <c r="H55" i="32"/>
  <c r="C56" i="32"/>
  <c r="D56" i="32" s="1"/>
  <c r="D55" i="32"/>
  <c r="D49" i="32"/>
  <c r="C50" i="32"/>
  <c r="D50" i="32" s="1"/>
  <c r="H49" i="32"/>
  <c r="D92" i="32"/>
  <c r="I49" i="32" l="1"/>
  <c r="H50" i="32"/>
  <c r="I55" i="32"/>
  <c r="H56" i="32"/>
  <c r="I56" i="32" s="1"/>
  <c r="C91" i="32"/>
  <c r="D8" i="32"/>
  <c r="C9" i="32"/>
  <c r="D9" i="32" s="1"/>
  <c r="D9" i="23"/>
  <c r="H8" i="32"/>
  <c r="I44" i="32"/>
  <c r="H45" i="32"/>
  <c r="I60" i="32"/>
  <c r="H61" i="32"/>
  <c r="I61" i="32" s="1"/>
  <c r="C14" i="32"/>
  <c r="D14" i="32" s="1"/>
  <c r="D13" i="32"/>
  <c r="H13" i="32"/>
  <c r="I13" i="32" l="1"/>
  <c r="H14" i="32"/>
  <c r="F13" i="72"/>
  <c r="D13" i="72" s="1"/>
  <c r="J13" i="72" s="1"/>
  <c r="I45" i="32"/>
  <c r="F96" i="23"/>
  <c r="F97" i="23" s="1"/>
  <c r="C92" i="32"/>
  <c r="F92" i="32" s="1"/>
  <c r="F91" i="32"/>
  <c r="C23" i="42" s="1"/>
  <c r="F13" i="69"/>
  <c r="D13" i="69" s="1"/>
  <c r="J13" i="69" s="1"/>
  <c r="I50" i="32"/>
  <c r="H9" i="32"/>
  <c r="I8" i="32"/>
  <c r="F9" i="23"/>
  <c r="J9" i="23"/>
  <c r="D96" i="23"/>
  <c r="D15" i="23"/>
  <c r="D71" i="23"/>
  <c r="D77" i="23" l="1"/>
  <c r="F71" i="23"/>
  <c r="F15" i="23"/>
  <c r="D17" i="23"/>
  <c r="F17" i="23" s="1"/>
  <c r="F12" i="69"/>
  <c r="I14" i="32"/>
  <c r="H34" i="69"/>
  <c r="H43" i="70"/>
  <c r="D97" i="23"/>
  <c r="H97" i="23" s="1"/>
  <c r="H96" i="23"/>
  <c r="K9" i="23"/>
  <c r="J15" i="23"/>
  <c r="J71" i="23"/>
  <c r="F12" i="72"/>
  <c r="I9" i="32"/>
  <c r="H29" i="72"/>
  <c r="H39" i="73"/>
  <c r="J77" i="23" l="1"/>
  <c r="K71" i="23"/>
  <c r="J29" i="72"/>
  <c r="E24" i="47"/>
  <c r="E36" i="47" s="1"/>
  <c r="D12" i="72"/>
  <c r="J12" i="72" s="1"/>
  <c r="K15" i="23"/>
  <c r="J17" i="23"/>
  <c r="K17" i="23" s="1"/>
  <c r="J34" i="69"/>
  <c r="H24" i="47"/>
  <c r="H36" i="47" s="1"/>
  <c r="D12" i="69"/>
  <c r="J12" i="69" s="1"/>
  <c r="F77" i="23"/>
  <c r="D79" i="23"/>
  <c r="O71" i="47" l="1"/>
  <c r="K77" i="23"/>
  <c r="N71" i="47"/>
  <c r="J79" i="23"/>
  <c r="K79" i="23" s="1"/>
  <c r="K34" i="69"/>
  <c r="J43" i="70"/>
  <c r="K43" i="70" s="1"/>
  <c r="K29" i="72"/>
  <c r="J39" i="73"/>
  <c r="K39" i="73" s="1"/>
  <c r="F79" i="23"/>
  <c r="C22" i="42"/>
  <c r="B24" i="71" l="1"/>
  <c r="B12" i="73" l="1"/>
  <c r="B23" i="64"/>
  <c r="B13" i="64" l="1"/>
  <c r="C10" i="49"/>
  <c r="H4" i="50"/>
  <c r="G4" i="50"/>
  <c r="G6" i="50"/>
  <c r="H6" i="50"/>
  <c r="C6" i="49"/>
  <c r="C4" i="49"/>
  <c r="B5" i="71"/>
  <c r="B15" i="71"/>
  <c r="G25" i="50"/>
  <c r="H25" i="50"/>
  <c r="H21" i="50"/>
  <c r="G21" i="50"/>
  <c r="H19" i="50"/>
  <c r="G19" i="50"/>
  <c r="G10" i="50"/>
  <c r="B14" i="64" s="1"/>
  <c r="H10" i="50"/>
  <c r="E10" i="51" l="1"/>
  <c r="B16" i="64"/>
  <c r="E10" i="75"/>
  <c r="G8" i="50"/>
  <c r="B6" i="71" s="1"/>
  <c r="H8" i="50"/>
  <c r="D14" i="64"/>
  <c r="B25" i="64"/>
  <c r="E21" i="51"/>
  <c r="B26" i="64"/>
  <c r="E25" i="75"/>
  <c r="E25" i="51"/>
  <c r="H23" i="50"/>
  <c r="G23" i="50"/>
  <c r="B24" i="64"/>
  <c r="B10" i="71"/>
  <c r="B7" i="71"/>
  <c r="E4" i="51"/>
  <c r="B18" i="64"/>
  <c r="B16" i="71"/>
  <c r="E6" i="51"/>
  <c r="C6" i="59" s="1"/>
  <c r="B15" i="64"/>
  <c r="C8" i="49"/>
  <c r="E19" i="51"/>
  <c r="B17" i="71"/>
  <c r="K25" i="51" l="1"/>
  <c r="G25" i="51"/>
  <c r="K10" i="75"/>
  <c r="L10" i="75" s="1"/>
  <c r="G10" i="75"/>
  <c r="E10" i="59"/>
  <c r="L10" i="59" s="1"/>
  <c r="K21" i="51"/>
  <c r="G21" i="51"/>
  <c r="E8" i="51"/>
  <c r="B8" i="71"/>
  <c r="E8" i="75"/>
  <c r="G21" i="48"/>
  <c r="K21" i="48"/>
  <c r="B29" i="71"/>
  <c r="H6" i="71" s="1"/>
  <c r="J6" i="71" s="1"/>
  <c r="B6" i="73"/>
  <c r="B23" i="71"/>
  <c r="D6" i="71"/>
  <c r="D16" i="71"/>
  <c r="H16" i="71"/>
  <c r="C4" i="59"/>
  <c r="K25" i="48"/>
  <c r="L25" i="48" s="1"/>
  <c r="G25" i="48"/>
  <c r="B18" i="71"/>
  <c r="H18" i="71" s="1"/>
  <c r="E23" i="51"/>
  <c r="E23" i="75"/>
  <c r="D4" i="49"/>
  <c r="G4" i="48"/>
  <c r="K4" i="48"/>
  <c r="K25" i="75"/>
  <c r="L25" i="75" s="1"/>
  <c r="G25" i="75"/>
  <c r="G19" i="51"/>
  <c r="K19" i="51"/>
  <c r="H17" i="71"/>
  <c r="K10" i="48"/>
  <c r="L10" i="48" s="1"/>
  <c r="G10" i="48"/>
  <c r="D10" i="49"/>
  <c r="B51" i="64"/>
  <c r="H7" i="71"/>
  <c r="B7" i="66"/>
  <c r="B48" i="64"/>
  <c r="H16" i="64" s="1"/>
  <c r="G19" i="48"/>
  <c r="K19" i="48"/>
  <c r="H25" i="64"/>
  <c r="K6" i="48"/>
  <c r="G6" i="48"/>
  <c r="D6" i="49"/>
  <c r="D24" i="64"/>
  <c r="B52" i="64"/>
  <c r="H24" i="64"/>
  <c r="C10" i="59"/>
  <c r="J24" i="64" l="1"/>
  <c r="E10" i="49"/>
  <c r="I10" i="49"/>
  <c r="J10" i="49" s="1"/>
  <c r="J16" i="71"/>
  <c r="D4" i="59"/>
  <c r="K4" i="51"/>
  <c r="G4" i="51"/>
  <c r="H32" i="64"/>
  <c r="J32" i="64" s="1"/>
  <c r="H7" i="64"/>
  <c r="J7" i="64" s="1"/>
  <c r="H5" i="64"/>
  <c r="J5" i="64" s="1"/>
  <c r="H42" i="64"/>
  <c r="J42" i="64" s="1"/>
  <c r="B55" i="64"/>
  <c r="H22" i="64"/>
  <c r="J22" i="64" s="1"/>
  <c r="H21" i="64"/>
  <c r="L15" i="47"/>
  <c r="H8" i="64"/>
  <c r="J8" i="64" s="1"/>
  <c r="H27" i="64"/>
  <c r="J27" i="64" s="1"/>
  <c r="H40" i="64"/>
  <c r="J40" i="64" s="1"/>
  <c r="H34" i="64"/>
  <c r="J34" i="64" s="1"/>
  <c r="H44" i="64"/>
  <c r="J44" i="64" s="1"/>
  <c r="H35" i="64"/>
  <c r="J35" i="64" s="1"/>
  <c r="H33" i="64"/>
  <c r="J33" i="64" s="1"/>
  <c r="H39" i="64"/>
  <c r="H41" i="64"/>
  <c r="J41" i="64" s="1"/>
  <c r="H17" i="64"/>
  <c r="J17" i="64" s="1"/>
  <c r="H43" i="64"/>
  <c r="J43" i="64" s="1"/>
  <c r="H31" i="64"/>
  <c r="J31" i="64" s="1"/>
  <c r="H9" i="64"/>
  <c r="J9" i="64" s="1"/>
  <c r="H45" i="64"/>
  <c r="J45" i="64" s="1"/>
  <c r="H6" i="64"/>
  <c r="J6" i="64" s="1"/>
  <c r="H23" i="64"/>
  <c r="H14" i="64"/>
  <c r="J14" i="64" s="1"/>
  <c r="H13" i="64"/>
  <c r="B32" i="71"/>
  <c r="H8" i="71"/>
  <c r="L6" i="48"/>
  <c r="F13" i="64"/>
  <c r="G10" i="51"/>
  <c r="D10" i="59"/>
  <c r="K10" i="51"/>
  <c r="B11" i="66"/>
  <c r="G6" i="51"/>
  <c r="K6" i="51"/>
  <c r="D6" i="59"/>
  <c r="H26" i="64"/>
  <c r="C8" i="59"/>
  <c r="L21" i="51"/>
  <c r="F25" i="64"/>
  <c r="D25" i="64" s="1"/>
  <c r="J25" i="64" s="1"/>
  <c r="F26" i="64"/>
  <c r="D26" i="64" s="1"/>
  <c r="L25" i="51"/>
  <c r="F17" i="71"/>
  <c r="D17" i="71" s="1"/>
  <c r="J17" i="71" s="1"/>
  <c r="L19" i="51"/>
  <c r="H23" i="71"/>
  <c r="B11" i="73"/>
  <c r="B6" i="74"/>
  <c r="B27" i="71"/>
  <c r="L21" i="48"/>
  <c r="F23" i="64"/>
  <c r="D23" i="64" s="1"/>
  <c r="B33" i="71"/>
  <c r="L4" i="48"/>
  <c r="B8" i="73"/>
  <c r="H15" i="64"/>
  <c r="E6" i="49"/>
  <c r="I6" i="49"/>
  <c r="H9" i="71"/>
  <c r="J9" i="71" s="1"/>
  <c r="H13" i="71"/>
  <c r="H19" i="71"/>
  <c r="J19" i="71" s="1"/>
  <c r="H14" i="71"/>
  <c r="J14" i="71" s="1"/>
  <c r="F15" i="47"/>
  <c r="B34" i="71"/>
  <c r="H24" i="71"/>
  <c r="H15" i="71"/>
  <c r="H5" i="71"/>
  <c r="L19" i="48"/>
  <c r="I4" i="49"/>
  <c r="E4" i="49"/>
  <c r="L4" i="51" l="1"/>
  <c r="F7" i="71"/>
  <c r="D13" i="64"/>
  <c r="K11" i="47"/>
  <c r="K37" i="47" s="1"/>
  <c r="J53" i="64"/>
  <c r="J24" i="66" s="1"/>
  <c r="J36" i="64"/>
  <c r="K4" i="59"/>
  <c r="F4" i="59"/>
  <c r="K23" i="48"/>
  <c r="G23" i="48"/>
  <c r="F63" i="47"/>
  <c r="F41" i="47"/>
  <c r="J26" i="64"/>
  <c r="K6" i="59"/>
  <c r="F6" i="59"/>
  <c r="G6" i="59" s="1"/>
  <c r="J13" i="64"/>
  <c r="J10" i="64"/>
  <c r="B8" i="74"/>
  <c r="F6" i="74"/>
  <c r="F8" i="74" s="1"/>
  <c r="B38" i="74"/>
  <c r="F15" i="64"/>
  <c r="F18" i="64" s="1"/>
  <c r="L6" i="51"/>
  <c r="J6" i="49"/>
  <c r="H53" i="64"/>
  <c r="K53" i="64" s="1"/>
  <c r="H24" i="66"/>
  <c r="K24" i="66" s="1"/>
  <c r="B15" i="73"/>
  <c r="G8" i="48"/>
  <c r="D8" i="49"/>
  <c r="K8" i="48"/>
  <c r="J23" i="64"/>
  <c r="L63" i="47"/>
  <c r="L41" i="47"/>
  <c r="B17" i="73"/>
  <c r="B19" i="66"/>
  <c r="F16" i="64"/>
  <c r="D16" i="64" s="1"/>
  <c r="J16" i="64" s="1"/>
  <c r="L10" i="51"/>
  <c r="J4" i="49"/>
  <c r="F10" i="59"/>
  <c r="G10" i="59" s="1"/>
  <c r="K10" i="59"/>
  <c r="M10" i="59" s="1"/>
  <c r="N10" i="59" s="1"/>
  <c r="D18" i="64" l="1"/>
  <c r="F7" i="66"/>
  <c r="H17" i="66"/>
  <c r="H15" i="66"/>
  <c r="H9" i="66"/>
  <c r="J9" i="66" s="1"/>
  <c r="H16" i="66"/>
  <c r="H8" i="66"/>
  <c r="H6" i="66"/>
  <c r="J6" i="66" s="1"/>
  <c r="H10" i="66"/>
  <c r="H14" i="66"/>
  <c r="H7" i="66"/>
  <c r="K23" i="75"/>
  <c r="G23" i="75"/>
  <c r="G8" i="51"/>
  <c r="D8" i="59"/>
  <c r="K8" i="51"/>
  <c r="K9" i="57"/>
  <c r="M9" i="57" s="1"/>
  <c r="M6" i="59"/>
  <c r="N6" i="59" s="1"/>
  <c r="H25" i="66"/>
  <c r="H54" i="64"/>
  <c r="L23" i="48"/>
  <c r="F15" i="71"/>
  <c r="D15" i="71" s="1"/>
  <c r="J15" i="71" s="1"/>
  <c r="G23" i="51"/>
  <c r="K23" i="51"/>
  <c r="D7" i="71"/>
  <c r="J7" i="71" s="1"/>
  <c r="K8" i="75"/>
  <c r="G8" i="75"/>
  <c r="E8" i="59"/>
  <c r="G4" i="59"/>
  <c r="C27" i="57"/>
  <c r="H11" i="66"/>
  <c r="L8" i="48"/>
  <c r="F5" i="71"/>
  <c r="D8" i="74"/>
  <c r="H37" i="71"/>
  <c r="M4" i="59"/>
  <c r="I8" i="49"/>
  <c r="E8" i="49"/>
  <c r="B34" i="73"/>
  <c r="H17" i="73" s="1"/>
  <c r="D15" i="64"/>
  <c r="J15" i="64" s="1"/>
  <c r="J18" i="64" s="1"/>
  <c r="K12" i="47"/>
  <c r="K38" i="47" s="1"/>
  <c r="J54" i="64"/>
  <c r="J25" i="66" s="1"/>
  <c r="L8" i="51" l="1"/>
  <c r="F8" i="71"/>
  <c r="B13" i="67"/>
  <c r="D23" i="71"/>
  <c r="F18" i="71"/>
  <c r="D18" i="71" s="1"/>
  <c r="J18" i="71" s="1"/>
  <c r="L23" i="51"/>
  <c r="K8" i="59"/>
  <c r="F8" i="59"/>
  <c r="G8" i="59" s="1"/>
  <c r="J8" i="49"/>
  <c r="H35" i="71"/>
  <c r="H40" i="73"/>
  <c r="K54" i="64"/>
  <c r="J35" i="71"/>
  <c r="J40" i="73" s="1"/>
  <c r="E11" i="47"/>
  <c r="E37" i="47" s="1"/>
  <c r="D5" i="71"/>
  <c r="J5" i="71" s="1"/>
  <c r="F10" i="71"/>
  <c r="B23" i="67"/>
  <c r="K25" i="66"/>
  <c r="H15" i="73"/>
  <c r="H20" i="73"/>
  <c r="H32" i="73"/>
  <c r="H30" i="73"/>
  <c r="H7" i="73"/>
  <c r="H21" i="73"/>
  <c r="H25" i="73"/>
  <c r="H22" i="73"/>
  <c r="H12" i="73"/>
  <c r="J12" i="73" s="1"/>
  <c r="H6" i="73"/>
  <c r="H8" i="73"/>
  <c r="H11" i="73"/>
  <c r="N4" i="59"/>
  <c r="L8" i="59"/>
  <c r="G20" i="50"/>
  <c r="H20" i="50"/>
  <c r="L8" i="75"/>
  <c r="L23" i="75"/>
  <c r="D7" i="66"/>
  <c r="J7" i="66" s="1"/>
  <c r="H5" i="50" l="1"/>
  <c r="G5" i="50"/>
  <c r="D8" i="71"/>
  <c r="J8" i="71" s="1"/>
  <c r="J36" i="71"/>
  <c r="J41" i="73" s="1"/>
  <c r="E12" i="47"/>
  <c r="E38" i="47" s="1"/>
  <c r="D10" i="71"/>
  <c r="F6" i="73"/>
  <c r="C9" i="49"/>
  <c r="F50" i="47" s="1"/>
  <c r="J10" i="71"/>
  <c r="K8" i="57"/>
  <c r="B10" i="57"/>
  <c r="K40" i="73"/>
  <c r="B25" i="67"/>
  <c r="E20" i="51"/>
  <c r="K35" i="71"/>
  <c r="M8" i="59"/>
  <c r="N8" i="59" s="1"/>
  <c r="H41" i="73"/>
  <c r="K41" i="73" s="1"/>
  <c r="H36" i="71"/>
  <c r="K36" i="71" s="1"/>
  <c r="J23" i="71"/>
  <c r="F23" i="71"/>
  <c r="B18" i="67"/>
  <c r="B7" i="70" s="1"/>
  <c r="E13" i="47" l="1"/>
  <c r="F11" i="73"/>
  <c r="J37" i="71"/>
  <c r="K37" i="71" s="1"/>
  <c r="G24" i="50"/>
  <c r="H24" i="50"/>
  <c r="G20" i="51"/>
  <c r="K20" i="51"/>
  <c r="G5" i="48"/>
  <c r="K5" i="48"/>
  <c r="L50" i="47"/>
  <c r="F53" i="47"/>
  <c r="B15" i="67"/>
  <c r="E5" i="51"/>
  <c r="K10" i="57"/>
  <c r="M8" i="57"/>
  <c r="J31" i="82"/>
  <c r="J34" i="82" s="1"/>
  <c r="J32" i="84"/>
  <c r="J32" i="82"/>
  <c r="J31" i="84"/>
  <c r="J34" i="84" s="1"/>
  <c r="D6" i="73"/>
  <c r="J6" i="73" s="1"/>
  <c r="J9" i="84"/>
  <c r="J9" i="82"/>
  <c r="C10" i="57"/>
  <c r="C26" i="57"/>
  <c r="D9" i="84"/>
  <c r="K20" i="48"/>
  <c r="G20" i="48"/>
  <c r="H9" i="50"/>
  <c r="G9" i="50"/>
  <c r="B14" i="67" s="1"/>
  <c r="D14" i="67" l="1"/>
  <c r="L20" i="48"/>
  <c r="L9" i="84"/>
  <c r="D11" i="73"/>
  <c r="J11" i="73" s="1"/>
  <c r="L20" i="51"/>
  <c r="F25" i="67"/>
  <c r="D25" i="67" s="1"/>
  <c r="F9" i="84"/>
  <c r="D9" i="82"/>
  <c r="M10" i="57"/>
  <c r="D31" i="82"/>
  <c r="D31" i="84"/>
  <c r="D34" i="84" s="1"/>
  <c r="D32" i="82"/>
  <c r="D34" i="82" s="1"/>
  <c r="D32" i="84"/>
  <c r="B26" i="77"/>
  <c r="L53" i="47"/>
  <c r="B26" i="67"/>
  <c r="E24" i="75"/>
  <c r="E32" i="75" s="1"/>
  <c r="E53" i="75" s="1"/>
  <c r="E24" i="51"/>
  <c r="L5" i="48"/>
  <c r="B24" i="67"/>
  <c r="L9" i="82"/>
  <c r="E9" i="75"/>
  <c r="B16" i="67"/>
  <c r="B72" i="67" s="1"/>
  <c r="E9" i="51"/>
  <c r="D24" i="67" l="1"/>
  <c r="B73" i="67"/>
  <c r="K5" i="51"/>
  <c r="G5" i="51"/>
  <c r="C9" i="59"/>
  <c r="E49" i="51"/>
  <c r="E49" i="75"/>
  <c r="E17" i="75"/>
  <c r="K9" i="48"/>
  <c r="D9" i="49"/>
  <c r="G9" i="48"/>
  <c r="J12" i="82"/>
  <c r="D10" i="57"/>
  <c r="D12" i="82"/>
  <c r="D13" i="82"/>
  <c r="J13" i="82"/>
  <c r="E10" i="57"/>
  <c r="K24" i="48"/>
  <c r="G24" i="48"/>
  <c r="D36" i="82"/>
  <c r="F9" i="82"/>
  <c r="L24" i="48" l="1"/>
  <c r="F23" i="67"/>
  <c r="D23" i="67" s="1"/>
  <c r="D12" i="84"/>
  <c r="F12" i="82"/>
  <c r="J12" i="84"/>
  <c r="L12" i="82"/>
  <c r="J36" i="82"/>
  <c r="E52" i="75"/>
  <c r="E40" i="75"/>
  <c r="E47" i="75" s="1"/>
  <c r="E9" i="49"/>
  <c r="I9" i="49"/>
  <c r="J9" i="49" s="1"/>
  <c r="L9" i="48"/>
  <c r="F13" i="67"/>
  <c r="F15" i="67"/>
  <c r="D15" i="67" s="1"/>
  <c r="L5" i="51"/>
  <c r="L12" i="84" l="1"/>
  <c r="J36" i="84"/>
  <c r="K9" i="75"/>
  <c r="G9" i="75"/>
  <c r="E9" i="59"/>
  <c r="F17" i="75"/>
  <c r="F49" i="75"/>
  <c r="G24" i="75"/>
  <c r="K24" i="75"/>
  <c r="F32" i="75"/>
  <c r="K9" i="51"/>
  <c r="G9" i="51"/>
  <c r="D9" i="59"/>
  <c r="F49" i="51"/>
  <c r="F12" i="84"/>
  <c r="D36" i="84"/>
  <c r="C47" i="42" s="1"/>
  <c r="K24" i="51"/>
  <c r="G24" i="51"/>
  <c r="D13" i="67"/>
  <c r="G32" i="75" l="1"/>
  <c r="K49" i="51"/>
  <c r="L49" i="51" s="1"/>
  <c r="G49" i="51"/>
  <c r="L24" i="75"/>
  <c r="K32" i="75"/>
  <c r="L32" i="75" s="1"/>
  <c r="L9" i="75"/>
  <c r="K17" i="75"/>
  <c r="F9" i="59"/>
  <c r="G9" i="59" s="1"/>
  <c r="K9" i="59"/>
  <c r="L9" i="51"/>
  <c r="F16" i="67"/>
  <c r="L24" i="51"/>
  <c r="F26" i="67"/>
  <c r="D26" i="67" s="1"/>
  <c r="K49" i="75"/>
  <c r="G49" i="75"/>
  <c r="G17" i="75"/>
  <c r="F40" i="75"/>
  <c r="L9" i="59"/>
  <c r="E14" i="59"/>
  <c r="E18" i="59" s="1"/>
  <c r="L14" i="59" l="1"/>
  <c r="L18" i="59" s="1"/>
  <c r="E50" i="47"/>
  <c r="D16" i="67"/>
  <c r="F18" i="67"/>
  <c r="M9" i="59"/>
  <c r="N9" i="59" s="1"/>
  <c r="L17" i="75"/>
  <c r="K40" i="75"/>
  <c r="G40" i="75"/>
  <c r="F47" i="75"/>
  <c r="L49" i="75"/>
  <c r="G50" i="47" l="1"/>
  <c r="K50" i="47"/>
  <c r="E53" i="47"/>
  <c r="G53" i="47" s="1"/>
  <c r="E20" i="59"/>
  <c r="G47" i="75"/>
  <c r="K47" i="75"/>
  <c r="L20" i="59" s="1"/>
  <c r="L40" i="75"/>
  <c r="H13" i="82"/>
  <c r="H13" i="84"/>
  <c r="D18" i="67"/>
  <c r="F7" i="70"/>
  <c r="D7" i="70" s="1"/>
  <c r="M50" i="47" l="1"/>
  <c r="L13" i="84"/>
  <c r="L15" i="84" s="1"/>
  <c r="H31" i="84" s="1"/>
  <c r="L31" i="84" s="1"/>
  <c r="B13" i="84"/>
  <c r="F13" i="84" s="1"/>
  <c r="F15" i="84" s="1"/>
  <c r="B31" i="84" s="1"/>
  <c r="F31" i="84" s="1"/>
  <c r="B13" i="82"/>
  <c r="F13" i="82" s="1"/>
  <c r="F15" i="82" s="1"/>
  <c r="L13" i="82"/>
  <c r="L15" i="82" s="1"/>
  <c r="H31" i="82" s="1"/>
  <c r="L31" i="82" s="1"/>
  <c r="L47" i="75"/>
  <c r="L52" i="75" s="1"/>
  <c r="K52" i="75"/>
  <c r="C30" i="42" s="1"/>
  <c r="I65" i="47" l="1"/>
  <c r="B31" i="82"/>
  <c r="F31" i="82" s="1"/>
  <c r="F36" i="82"/>
  <c r="K65" i="47"/>
  <c r="B25" i="29" l="1"/>
  <c r="B6" i="55"/>
  <c r="B21" i="77"/>
  <c r="I52" i="47"/>
  <c r="L52" i="47" s="1"/>
  <c r="J15" i="33" l="1"/>
  <c r="F6" i="33"/>
  <c r="E27" i="22"/>
  <c r="I27" i="22"/>
  <c r="J27" i="22" s="1"/>
  <c r="H8" i="80"/>
  <c r="B7" i="55"/>
  <c r="C5" i="55" s="1"/>
  <c r="F8" i="80"/>
  <c r="C18" i="29"/>
  <c r="B20" i="29"/>
  <c r="I18" i="29"/>
  <c r="J6" i="33" l="1"/>
  <c r="C6" i="55"/>
  <c r="C7" i="55" s="1"/>
  <c r="J8" i="80"/>
  <c r="L8" i="80" s="1"/>
  <c r="B29" i="81" s="1"/>
  <c r="H9" i="80"/>
  <c r="I57" i="47"/>
  <c r="L57" i="47" s="1"/>
  <c r="J7" i="80"/>
  <c r="L7" i="80" s="1"/>
  <c r="B28" i="81" s="1"/>
  <c r="F7" i="33"/>
  <c r="J7" i="33" s="1"/>
  <c r="B21" i="72"/>
  <c r="L12" i="57"/>
  <c r="C19" i="29" l="1"/>
  <c r="H19" i="29"/>
  <c r="D20" i="29"/>
  <c r="C20" i="29" s="1"/>
  <c r="F14" i="33"/>
  <c r="J14" i="33" s="1"/>
  <c r="J17" i="33" s="1"/>
  <c r="D21" i="72" s="1"/>
  <c r="F13" i="33"/>
  <c r="F17" i="33" s="1"/>
  <c r="C39" i="42" s="1"/>
  <c r="I28" i="22"/>
  <c r="J28" i="22" s="1"/>
  <c r="E28" i="22"/>
  <c r="B25" i="71"/>
  <c r="H10" i="80"/>
  <c r="H11" i="80" s="1"/>
  <c r="B26" i="71"/>
  <c r="H29" i="78"/>
  <c r="H17" i="76"/>
  <c r="D30" i="22"/>
  <c r="B29" i="73"/>
  <c r="H29" i="73" s="1"/>
  <c r="H21" i="72"/>
  <c r="J21" i="72" s="1"/>
  <c r="F15" i="68" l="1"/>
  <c r="E26" i="76"/>
  <c r="H8" i="76"/>
  <c r="E25" i="76"/>
  <c r="L16" i="57"/>
  <c r="L17" i="57" s="1"/>
  <c r="L24" i="57" s="1"/>
  <c r="H17" i="57"/>
  <c r="F21" i="72"/>
  <c r="F29" i="73" s="1"/>
  <c r="D29" i="73" s="1"/>
  <c r="E10" i="76"/>
  <c r="F8" i="76" s="1"/>
  <c r="F7" i="76"/>
  <c r="H7" i="76"/>
  <c r="C23" i="29"/>
  <c r="D25" i="29"/>
  <c r="C25" i="29" s="1"/>
  <c r="H23" i="29"/>
  <c r="C24" i="29"/>
  <c r="H24" i="29"/>
  <c r="I24" i="29" s="1"/>
  <c r="I19" i="29"/>
  <c r="H20" i="29"/>
  <c r="I20" i="29" s="1"/>
  <c r="J29" i="73"/>
  <c r="F16" i="68"/>
  <c r="B14" i="73"/>
  <c r="H14" i="73" s="1"/>
  <c r="J14" i="73" s="1"/>
  <c r="H26" i="71"/>
  <c r="B13" i="73"/>
  <c r="H13" i="73" s="1"/>
  <c r="J13" i="73" s="1"/>
  <c r="H25" i="71"/>
  <c r="F7" i="68"/>
  <c r="D7" i="68" s="1"/>
  <c r="B19" i="72" s="1"/>
  <c r="D32" i="27"/>
  <c r="J29" i="78"/>
  <c r="H53" i="78"/>
  <c r="H30" i="78"/>
  <c r="H31" i="78" s="1"/>
  <c r="H32" i="78" s="1"/>
  <c r="J28" i="78"/>
  <c r="L28" i="78" s="1"/>
  <c r="E26" i="22"/>
  <c r="I26" i="22"/>
  <c r="B30" i="22"/>
  <c r="E27" i="76"/>
  <c r="F9" i="76"/>
  <c r="H9" i="76"/>
  <c r="H13" i="78" s="1"/>
  <c r="E28" i="76" l="1"/>
  <c r="H25" i="76"/>
  <c r="J13" i="78"/>
  <c r="L13" i="78" s="1"/>
  <c r="H60" i="78"/>
  <c r="H14" i="78"/>
  <c r="H37" i="78"/>
  <c r="H18" i="76"/>
  <c r="F6" i="68"/>
  <c r="D6" i="68" s="1"/>
  <c r="B18" i="72" s="1"/>
  <c r="H24" i="57"/>
  <c r="H6" i="78"/>
  <c r="H27" i="76"/>
  <c r="H26" i="76"/>
  <c r="F26" i="76"/>
  <c r="E19" i="76"/>
  <c r="F17" i="76" s="1"/>
  <c r="H16" i="76"/>
  <c r="D33" i="27"/>
  <c r="J15" i="73"/>
  <c r="I23" i="29"/>
  <c r="H25" i="29"/>
  <c r="I25" i="29" s="1"/>
  <c r="H10" i="76"/>
  <c r="I9" i="76" s="1"/>
  <c r="N17" i="78" s="1"/>
  <c r="H19" i="78"/>
  <c r="I7" i="76"/>
  <c r="B27" i="73"/>
  <c r="H27" i="73" s="1"/>
  <c r="H19" i="72"/>
  <c r="F10" i="76"/>
  <c r="H52" i="47"/>
  <c r="J26" i="22"/>
  <c r="H71" i="47"/>
  <c r="N17" i="82"/>
  <c r="N17" i="84"/>
  <c r="F8" i="68"/>
  <c r="D8" i="68" s="1"/>
  <c r="B20" i="72" s="1"/>
  <c r="J19" i="78" l="1"/>
  <c r="F16" i="76"/>
  <c r="B17" i="84"/>
  <c r="F17" i="84" s="1"/>
  <c r="F27" i="84" s="1"/>
  <c r="B32" i="84" s="1"/>
  <c r="F32" i="84" s="1"/>
  <c r="F34" i="84" s="1"/>
  <c r="R17" i="84"/>
  <c r="R27" i="84" s="1"/>
  <c r="N32" i="84" s="1"/>
  <c r="R32" i="84" s="1"/>
  <c r="R34" i="84" s="1"/>
  <c r="I26" i="76"/>
  <c r="H28" i="76"/>
  <c r="I27" i="76" s="1"/>
  <c r="I25" i="76"/>
  <c r="B28" i="73"/>
  <c r="H28" i="73" s="1"/>
  <c r="H20" i="72"/>
  <c r="R17" i="82"/>
  <c r="R27" i="82" s="1"/>
  <c r="N32" i="82" s="1"/>
  <c r="R32" i="82" s="1"/>
  <c r="R34" i="82" s="1"/>
  <c r="B17" i="82"/>
  <c r="F17" i="82" s="1"/>
  <c r="F27" i="82" s="1"/>
  <c r="F25" i="76"/>
  <c r="F28" i="76" s="1"/>
  <c r="B16" i="77"/>
  <c r="F18" i="76"/>
  <c r="F29" i="78"/>
  <c r="B53" i="78"/>
  <c r="F27" i="76"/>
  <c r="H61" i="78"/>
  <c r="J61" i="78" s="1"/>
  <c r="L61" i="78" s="1"/>
  <c r="B17" i="81" s="1"/>
  <c r="J37" i="78"/>
  <c r="H38" i="78"/>
  <c r="H39" i="78" s="1"/>
  <c r="H40" i="78" s="1"/>
  <c r="J36" i="78"/>
  <c r="L36" i="78" s="1"/>
  <c r="F37" i="78"/>
  <c r="F61" i="78" s="1"/>
  <c r="B61" i="78"/>
  <c r="K52" i="47"/>
  <c r="J52" i="47"/>
  <c r="M65" i="47"/>
  <c r="H53" i="47"/>
  <c r="J53" i="47" s="1"/>
  <c r="B26" i="73"/>
  <c r="H26" i="73" s="1"/>
  <c r="H18" i="72"/>
  <c r="F60" i="78"/>
  <c r="I8" i="76"/>
  <c r="B60" i="78"/>
  <c r="I10" i="76"/>
  <c r="N19" i="78"/>
  <c r="P19" i="78" s="1"/>
  <c r="H19" i="76"/>
  <c r="H43" i="78"/>
  <c r="I24" i="22"/>
  <c r="E24" i="22"/>
  <c r="H52" i="78"/>
  <c r="H7" i="78"/>
  <c r="J6" i="78"/>
  <c r="L6" i="78" s="1"/>
  <c r="F56" i="47"/>
  <c r="J14" i="78"/>
  <c r="L14" i="78" s="1"/>
  <c r="H15" i="78"/>
  <c r="H62" i="78"/>
  <c r="J62" i="78" s="1"/>
  <c r="B62" i="78"/>
  <c r="F62" i="78"/>
  <c r="L62" i="78" s="1"/>
  <c r="B18" i="81" s="1"/>
  <c r="I16" i="76" l="1"/>
  <c r="I17" i="76"/>
  <c r="J7" i="78"/>
  <c r="L7" i="78" s="1"/>
  <c r="H8" i="78"/>
  <c r="H54" i="78"/>
  <c r="J54" i="78" s="1"/>
  <c r="F54" i="78"/>
  <c r="L54" i="78" s="1"/>
  <c r="B10" i="81" s="1"/>
  <c r="B17" i="77"/>
  <c r="B23" i="77" s="1"/>
  <c r="F52" i="78"/>
  <c r="J52" i="78"/>
  <c r="L52" i="78" s="1"/>
  <c r="J53" i="78"/>
  <c r="L37" i="78"/>
  <c r="J43" i="78"/>
  <c r="I28" i="76"/>
  <c r="B11" i="77"/>
  <c r="N67" i="78"/>
  <c r="P67" i="78" s="1"/>
  <c r="N57" i="78"/>
  <c r="B12" i="77"/>
  <c r="D13" i="81" s="1"/>
  <c r="D23" i="81" s="1"/>
  <c r="D25" i="81" s="1"/>
  <c r="B13" i="77"/>
  <c r="D21" i="81" s="1"/>
  <c r="N65" i="78"/>
  <c r="H67" i="78"/>
  <c r="B52" i="78"/>
  <c r="F53" i="78"/>
  <c r="L29" i="78"/>
  <c r="F14" i="68"/>
  <c r="H63" i="78"/>
  <c r="J63" i="78" s="1"/>
  <c r="H16" i="78"/>
  <c r="J15" i="78"/>
  <c r="F58" i="47"/>
  <c r="I56" i="47"/>
  <c r="I58" i="47" s="1"/>
  <c r="F19" i="76"/>
  <c r="J24" i="22"/>
  <c r="I18" i="76"/>
  <c r="N41" i="78" s="1"/>
  <c r="F37" i="82"/>
  <c r="B32" i="82"/>
  <c r="F32" i="82" s="1"/>
  <c r="F34" i="82" s="1"/>
  <c r="N10" i="78"/>
  <c r="N65" i="47"/>
  <c r="K53" i="47"/>
  <c r="M52" i="47"/>
  <c r="R38" i="82"/>
  <c r="J60" i="78"/>
  <c r="L60" i="78" s="1"/>
  <c r="B16" i="81" l="1"/>
  <c r="C5" i="27"/>
  <c r="L56" i="47"/>
  <c r="L58" i="47" s="1"/>
  <c r="C5" i="28"/>
  <c r="F8" i="78"/>
  <c r="F10" i="80"/>
  <c r="L10" i="80" s="1"/>
  <c r="B31" i="81" s="1"/>
  <c r="C9" i="27"/>
  <c r="F39" i="78"/>
  <c r="L39" i="78" s="1"/>
  <c r="L41" i="78" s="1"/>
  <c r="P41" i="78" s="1"/>
  <c r="F31" i="78"/>
  <c r="L31" i="78" s="1"/>
  <c r="F15" i="78"/>
  <c r="N33" i="78"/>
  <c r="N43" i="78"/>
  <c r="P43" i="78" s="1"/>
  <c r="I19" i="76"/>
  <c r="F16" i="78"/>
  <c r="F40" i="78"/>
  <c r="L40" i="78" s="1"/>
  <c r="F32" i="78"/>
  <c r="L32" i="78" s="1"/>
  <c r="F9" i="78"/>
  <c r="M53" i="47"/>
  <c r="F38" i="82" s="1"/>
  <c r="I71" i="47"/>
  <c r="J71" i="47" s="1"/>
  <c r="F11" i="80"/>
  <c r="L11" i="80" s="1"/>
  <c r="B32" i="81" s="1"/>
  <c r="C8" i="27"/>
  <c r="B54" i="78"/>
  <c r="E25" i="22"/>
  <c r="I25" i="22"/>
  <c r="C30" i="22"/>
  <c r="L33" i="78"/>
  <c r="L53" i="78"/>
  <c r="B9" i="81" s="1"/>
  <c r="J16" i="78"/>
  <c r="L16" i="78" s="1"/>
  <c r="H64" i="78"/>
  <c r="J64" i="78" s="1"/>
  <c r="C4" i="28"/>
  <c r="J8" i="78"/>
  <c r="L8" i="78" s="1"/>
  <c r="H9" i="78"/>
  <c r="H55" i="78"/>
  <c r="J55" i="78" s="1"/>
  <c r="C7" i="27"/>
  <c r="B8" i="81"/>
  <c r="B64" i="78" l="1"/>
  <c r="B55" i="78"/>
  <c r="H5" i="28"/>
  <c r="I5" i="28" s="1"/>
  <c r="J25" i="22"/>
  <c r="I30" i="22"/>
  <c r="J30" i="22" s="1"/>
  <c r="F64" i="78"/>
  <c r="L64" i="78" s="1"/>
  <c r="B20" i="81" s="1"/>
  <c r="B63" i="78"/>
  <c r="H9" i="27"/>
  <c r="I9" i="27" s="1"/>
  <c r="F55" i="78"/>
  <c r="L55" i="78" s="1"/>
  <c r="B11" i="81" s="1"/>
  <c r="H7" i="27"/>
  <c r="I7" i="27" s="1"/>
  <c r="H4" i="28"/>
  <c r="I4" i="28" s="1"/>
  <c r="I7" i="28" s="1"/>
  <c r="E30" i="22"/>
  <c r="H8" i="27"/>
  <c r="I8" i="27" s="1"/>
  <c r="F63" i="78"/>
  <c r="L63" i="78" s="1"/>
  <c r="L15" i="78"/>
  <c r="L17" i="78" s="1"/>
  <c r="P17" i="78" s="1"/>
  <c r="H5" i="27"/>
  <c r="I5" i="27" s="1"/>
  <c r="I11" i="27" s="1"/>
  <c r="J9" i="78"/>
  <c r="L9" i="78" s="1"/>
  <c r="L10" i="78" s="1"/>
  <c r="P10" i="78" s="1"/>
  <c r="P21" i="78" s="1"/>
  <c r="H56" i="78"/>
  <c r="P33" i="78"/>
  <c r="P45" i="78" s="1"/>
  <c r="J56" i="47" s="1"/>
  <c r="H56" i="47" s="1"/>
  <c r="P72" i="78" l="1"/>
  <c r="G56" i="47"/>
  <c r="E56" i="47" s="1"/>
  <c r="J56" i="78"/>
  <c r="B56" i="78"/>
  <c r="D25" i="71"/>
  <c r="D19" i="72"/>
  <c r="D20" i="72"/>
  <c r="D26" i="71"/>
  <c r="F56" i="78"/>
  <c r="L56" i="78" s="1"/>
  <c r="P73" i="78"/>
  <c r="B19" i="81"/>
  <c r="B21" i="81" s="1"/>
  <c r="F21" i="81" s="1"/>
  <c r="L65" i="78"/>
  <c r="P65" i="78" s="1"/>
  <c r="C17" i="27" l="1"/>
  <c r="C4" i="26"/>
  <c r="H43" i="73"/>
  <c r="B12" i="81"/>
  <c r="B13" i="81" s="1"/>
  <c r="F13" i="81" s="1"/>
  <c r="F25" i="81" s="1"/>
  <c r="L57" i="78"/>
  <c r="C10" i="28"/>
  <c r="F19" i="72"/>
  <c r="F27" i="73" s="1"/>
  <c r="D27" i="73" s="1"/>
  <c r="J27" i="73" s="1"/>
  <c r="J19" i="72"/>
  <c r="F25" i="71"/>
  <c r="F13" i="73" s="1"/>
  <c r="J25" i="71"/>
  <c r="C16" i="27"/>
  <c r="C18" i="27"/>
  <c r="C14" i="27"/>
  <c r="C5" i="26"/>
  <c r="F26" i="71"/>
  <c r="F14" i="73" s="1"/>
  <c r="J26" i="71"/>
  <c r="E58" i="47"/>
  <c r="G58" i="47" s="1"/>
  <c r="K56" i="47"/>
  <c r="M56" i="47" s="1"/>
  <c r="H66" i="47" s="1"/>
  <c r="C11" i="28"/>
  <c r="F20" i="72"/>
  <c r="F28" i="73" s="1"/>
  <c r="D28" i="73" s="1"/>
  <c r="J28" i="73" s="1"/>
  <c r="J20" i="72"/>
  <c r="B14" i="74"/>
  <c r="B15" i="74"/>
  <c r="H5" i="26" l="1"/>
  <c r="I5" i="26" s="1"/>
  <c r="H11" i="28"/>
  <c r="I11" i="28" s="1"/>
  <c r="D19" i="28"/>
  <c r="H4" i="26"/>
  <c r="I4" i="26" s="1"/>
  <c r="I7" i="26" s="1"/>
  <c r="H16" i="27"/>
  <c r="I16" i="27" s="1"/>
  <c r="C33" i="27"/>
  <c r="P74" i="78"/>
  <c r="P57" i="78"/>
  <c r="P69" i="78" s="1"/>
  <c r="P75" i="78" s="1"/>
  <c r="H14" i="27"/>
  <c r="I14" i="27" s="1"/>
  <c r="C32" i="27"/>
  <c r="H10" i="28"/>
  <c r="I10" i="28" s="1"/>
  <c r="I13" i="28" s="1"/>
  <c r="C19" i="28"/>
  <c r="C37" i="42" s="1"/>
  <c r="F37" i="81"/>
  <c r="H18" i="27"/>
  <c r="I18" i="27" s="1"/>
  <c r="C35" i="27"/>
  <c r="C36" i="42" s="1"/>
  <c r="H17" i="27"/>
  <c r="I17" i="27" s="1"/>
  <c r="C34" i="27"/>
  <c r="G23" i="30"/>
  <c r="B31" i="74"/>
  <c r="F18" i="30"/>
  <c r="F7" i="30" s="1"/>
  <c r="D31" i="74" s="1"/>
  <c r="F17" i="30"/>
  <c r="F6" i="30" s="1"/>
  <c r="D15" i="74" s="1"/>
  <c r="E17" i="30"/>
  <c r="E6" i="30" s="1"/>
  <c r="D14" i="74" s="1"/>
  <c r="C11" i="26" l="1"/>
  <c r="I20" i="27"/>
  <c r="C10" i="26"/>
  <c r="H47" i="70"/>
  <c r="N75" i="47"/>
  <c r="F15" i="74"/>
  <c r="D65" i="67"/>
  <c r="D26" i="69"/>
  <c r="C14" i="42"/>
  <c r="D18" i="72"/>
  <c r="D24" i="71"/>
  <c r="B29" i="74"/>
  <c r="D18" i="30"/>
  <c r="D7" i="30" s="1"/>
  <c r="D29" i="74" s="1"/>
  <c r="G28" i="30"/>
  <c r="G18" i="30" s="1"/>
  <c r="G7" i="30" s="1"/>
  <c r="B13" i="74"/>
  <c r="G27" i="30"/>
  <c r="F31" i="74"/>
  <c r="F14" i="74"/>
  <c r="H11" i="26" l="1"/>
  <c r="I11" i="26" s="1"/>
  <c r="D21" i="26"/>
  <c r="F18" i="72"/>
  <c r="J18" i="72"/>
  <c r="H10" i="26"/>
  <c r="I10" i="26" s="1"/>
  <c r="I13" i="26" s="1"/>
  <c r="C21" i="26"/>
  <c r="D25" i="69"/>
  <c r="D64" i="67"/>
  <c r="F24" i="71"/>
  <c r="J24" i="71"/>
  <c r="J27" i="71" s="1"/>
  <c r="F29" i="74"/>
  <c r="F32" i="74" s="1"/>
  <c r="B32" i="74"/>
  <c r="B16" i="74"/>
  <c r="B18" i="74" s="1"/>
  <c r="B36" i="74" s="1"/>
  <c r="D17" i="30"/>
  <c r="G22" i="30"/>
  <c r="G17" i="30" s="1"/>
  <c r="G6" i="30" s="1"/>
  <c r="N74" i="47" s="1"/>
  <c r="E26" i="47" l="1"/>
  <c r="H31" i="72"/>
  <c r="F26" i="73"/>
  <c r="D26" i="73" s="1"/>
  <c r="J26" i="73" s="1"/>
  <c r="J31" i="72"/>
  <c r="D24" i="69"/>
  <c r="D63" i="67"/>
  <c r="F15" i="26"/>
  <c r="C35" i="42" s="1"/>
  <c r="F12" i="73"/>
  <c r="F15" i="73" s="1"/>
  <c r="D15" i="73" s="1"/>
  <c r="E14" i="47"/>
  <c r="E40" i="47" s="1"/>
  <c r="J38" i="71"/>
  <c r="H38" i="71"/>
  <c r="F27" i="71"/>
  <c r="D27" i="71" s="1"/>
  <c r="D6" i="30"/>
  <c r="D13" i="74" s="1"/>
  <c r="B6" i="25"/>
  <c r="H35" i="69"/>
  <c r="D32" i="74"/>
  <c r="K31" i="72" l="1"/>
  <c r="K38" i="71"/>
  <c r="J43" i="73"/>
  <c r="K43" i="73" s="1"/>
  <c r="D23" i="69"/>
  <c r="B9" i="80"/>
  <c r="F9" i="80" s="1"/>
  <c r="L9" i="80" s="1"/>
  <c r="F6" i="25"/>
  <c r="J6" i="25" s="1"/>
  <c r="B8" i="77" s="1"/>
  <c r="F13" i="74"/>
  <c r="F16" i="74" s="1"/>
  <c r="H30" i="72" l="1"/>
  <c r="D16" i="74"/>
  <c r="F18" i="74"/>
  <c r="B30" i="81"/>
  <c r="B33" i="81" s="1"/>
  <c r="F33" i="81" s="1"/>
  <c r="L12" i="80"/>
  <c r="P12" i="80" s="1"/>
  <c r="F23" i="69"/>
  <c r="J23" i="69"/>
  <c r="J35" i="69" l="1"/>
  <c r="H25" i="47"/>
  <c r="F30" i="70"/>
  <c r="J57" i="47"/>
  <c r="H57" i="47" s="1"/>
  <c r="P14" i="80"/>
  <c r="C15" i="42" s="1"/>
  <c r="H72" i="47"/>
  <c r="D18" i="74"/>
  <c r="F36" i="74"/>
  <c r="F38" i="81"/>
  <c r="F35" i="81"/>
  <c r="D17" i="72"/>
  <c r="H42" i="73"/>
  <c r="K35" i="69" l="1"/>
  <c r="D36" i="74"/>
  <c r="J17" i="72"/>
  <c r="J22" i="72" s="1"/>
  <c r="F17" i="72"/>
  <c r="D30" i="70"/>
  <c r="K57" i="47"/>
  <c r="H58" i="47"/>
  <c r="J58" i="47" s="1"/>
  <c r="M57" i="47" l="1"/>
  <c r="I66" i="47" s="1"/>
  <c r="K58" i="47"/>
  <c r="F25" i="73"/>
  <c r="E25" i="47"/>
  <c r="J30" i="72"/>
  <c r="F22" i="72"/>
  <c r="D22" i="72" l="1"/>
  <c r="K30" i="72"/>
  <c r="J42" i="73"/>
  <c r="E39" i="47"/>
  <c r="D25" i="73"/>
  <c r="J25" i="73" s="1"/>
  <c r="J30" i="73" s="1"/>
  <c r="F30" i="73"/>
  <c r="I72" i="47"/>
  <c r="J72" i="47" s="1"/>
  <c r="M58" i="47"/>
  <c r="D30" i="73" l="1"/>
  <c r="J66" i="47"/>
  <c r="F39" i="81"/>
  <c r="C44" i="42" s="1"/>
  <c r="K42" i="73"/>
  <c r="B7" i="72" l="1"/>
  <c r="H7" i="72" s="1"/>
  <c r="B6" i="72" l="1"/>
  <c r="H6" i="72" s="1"/>
  <c r="C12" i="29" l="1"/>
  <c r="H12" i="29"/>
  <c r="I12" i="57" l="1"/>
  <c r="K12" i="57"/>
  <c r="M12" i="57" s="1"/>
  <c r="G26" i="57"/>
  <c r="F7" i="72"/>
  <c r="D7" i="72" s="1"/>
  <c r="J7" i="72" s="1"/>
  <c r="I12" i="29"/>
  <c r="E15" i="22" l="1"/>
  <c r="I15" i="22"/>
  <c r="H28" i="72" l="1"/>
  <c r="F6" i="72"/>
  <c r="J15" i="22"/>
  <c r="H38" i="73"/>
  <c r="J28" i="72" l="1"/>
  <c r="E23" i="47"/>
  <c r="E35" i="47" s="1"/>
  <c r="D6" i="72"/>
  <c r="J6" i="72" s="1"/>
  <c r="K28" i="72" l="1"/>
  <c r="J38" i="73"/>
  <c r="K38" i="73" s="1"/>
  <c r="B14" i="29" l="1"/>
  <c r="B7" i="69" s="1"/>
  <c r="H7" i="69" l="1"/>
  <c r="H17" i="82"/>
  <c r="L17" i="82" s="1"/>
  <c r="L27" i="82" s="1"/>
  <c r="H17" i="84"/>
  <c r="L17" i="84" s="1"/>
  <c r="L27" i="84" s="1"/>
  <c r="H32" i="84" l="1"/>
  <c r="L32" i="84" s="1"/>
  <c r="L34" i="84" s="1"/>
  <c r="H32" i="82"/>
  <c r="L32" i="82" s="1"/>
  <c r="L34" i="82" s="1"/>
  <c r="L65" i="47"/>
  <c r="B65" i="67" l="1"/>
  <c r="D16" i="68"/>
  <c r="B26" i="69" s="1"/>
  <c r="L38" i="82"/>
  <c r="C46" i="42" s="1"/>
  <c r="B64" i="67"/>
  <c r="D15" i="68"/>
  <c r="B25" i="69" s="1"/>
  <c r="G17" i="57"/>
  <c r="I16" i="57"/>
  <c r="I17" i="57" s="1"/>
  <c r="I24" i="57" s="1"/>
  <c r="B6" i="69"/>
  <c r="H6" i="69" s="1"/>
  <c r="D21" i="22"/>
  <c r="I8" i="29"/>
  <c r="B9" i="29"/>
  <c r="C8" i="29"/>
  <c r="I19" i="22"/>
  <c r="J19" i="22" s="1"/>
  <c r="E19" i="22"/>
  <c r="B21" i="22"/>
  <c r="G27" i="57" l="1"/>
  <c r="G24" i="57"/>
  <c r="B32" i="70"/>
  <c r="F25" i="69"/>
  <c r="F32" i="70" s="1"/>
  <c r="H25" i="69"/>
  <c r="J25" i="69" s="1"/>
  <c r="F64" i="67"/>
  <c r="F17" i="70" s="1"/>
  <c r="B17" i="70"/>
  <c r="B12" i="22"/>
  <c r="D12" i="22"/>
  <c r="B32" i="67"/>
  <c r="B33" i="70"/>
  <c r="F26" i="69"/>
  <c r="F33" i="70" s="1"/>
  <c r="H26" i="69"/>
  <c r="J26" i="69" s="1"/>
  <c r="C13" i="29"/>
  <c r="H13" i="29"/>
  <c r="D14" i="29"/>
  <c r="F65" i="67"/>
  <c r="F18" i="70" s="1"/>
  <c r="D18" i="70" s="1"/>
  <c r="B18" i="70"/>
  <c r="B27" i="29"/>
  <c r="C9" i="29"/>
  <c r="I9" i="29"/>
  <c r="B40" i="22" l="1"/>
  <c r="D40" i="22"/>
  <c r="D33" i="70"/>
  <c r="D17" i="70"/>
  <c r="B63" i="67"/>
  <c r="D14" i="68"/>
  <c r="B24" i="69" s="1"/>
  <c r="I18" i="22"/>
  <c r="E18" i="22"/>
  <c r="C14" i="29"/>
  <c r="D27" i="29"/>
  <c r="I13" i="29"/>
  <c r="H14" i="29"/>
  <c r="D32" i="70"/>
  <c r="E38" i="48" l="1"/>
  <c r="C27" i="29"/>
  <c r="F24" i="69"/>
  <c r="H24" i="69"/>
  <c r="J24" i="69" s="1"/>
  <c r="J27" i="69" s="1"/>
  <c r="B31" i="70"/>
  <c r="I14" i="29"/>
  <c r="H27" i="29"/>
  <c r="F7" i="69"/>
  <c r="D7" i="69" s="1"/>
  <c r="J7" i="69" s="1"/>
  <c r="J18" i="22"/>
  <c r="F63" i="67"/>
  <c r="B16" i="70"/>
  <c r="K16" i="57" l="1"/>
  <c r="B17" i="57"/>
  <c r="B24" i="57" s="1"/>
  <c r="B5" i="67"/>
  <c r="C5" i="49"/>
  <c r="C14" i="49" s="1"/>
  <c r="E17" i="48"/>
  <c r="H29" i="29"/>
  <c r="I27" i="29"/>
  <c r="I29" i="29" s="1"/>
  <c r="B33" i="67"/>
  <c r="E32" i="48"/>
  <c r="C34" i="42"/>
  <c r="I9" i="22"/>
  <c r="E9" i="22"/>
  <c r="C12" i="22"/>
  <c r="G27" i="50"/>
  <c r="H27" i="50"/>
  <c r="E32" i="50"/>
  <c r="F31" i="70"/>
  <c r="H36" i="69"/>
  <c r="J36" i="69"/>
  <c r="H26" i="47"/>
  <c r="F27" i="69"/>
  <c r="D27" i="69" s="1"/>
  <c r="H34" i="50"/>
  <c r="G34" i="50"/>
  <c r="G38" i="50" s="1"/>
  <c r="E38" i="50"/>
  <c r="J77" i="67"/>
  <c r="J47" i="70" s="1"/>
  <c r="K47" i="70" s="1"/>
  <c r="H77" i="67"/>
  <c r="K77" i="67" s="1"/>
  <c r="H14" i="47"/>
  <c r="H40" i="47" s="1"/>
  <c r="O75" i="47" s="1"/>
  <c r="F16" i="70"/>
  <c r="D16" i="70" s="1"/>
  <c r="B30" i="57" l="1"/>
  <c r="K36" i="69"/>
  <c r="E40" i="48"/>
  <c r="K17" i="57"/>
  <c r="K24" i="57" s="1"/>
  <c r="M16" i="57"/>
  <c r="M17" i="57" s="1"/>
  <c r="M24" i="57" s="1"/>
  <c r="H38" i="50"/>
  <c r="E34" i="51"/>
  <c r="E38" i="51" s="1"/>
  <c r="E16" i="22"/>
  <c r="I16" i="22"/>
  <c r="C21" i="22"/>
  <c r="E21" i="22" s="1"/>
  <c r="D31" i="70"/>
  <c r="F34" i="70"/>
  <c r="D34" i="70" s="1"/>
  <c r="C16" i="49"/>
  <c r="B10" i="67"/>
  <c r="G12" i="50"/>
  <c r="H12" i="50"/>
  <c r="E17" i="50"/>
  <c r="B35" i="67"/>
  <c r="E27" i="51"/>
  <c r="E32" i="51" s="1"/>
  <c r="E53" i="51" s="1"/>
  <c r="H32" i="50"/>
  <c r="B34" i="67"/>
  <c r="G32" i="50"/>
  <c r="C40" i="22"/>
  <c r="E12" i="22"/>
  <c r="C17" i="57"/>
  <c r="C24" i="57" s="1"/>
  <c r="C29" i="57"/>
  <c r="B74" i="67"/>
  <c r="J9" i="22"/>
  <c r="H72" i="67"/>
  <c r="F32" i="67"/>
  <c r="I12" i="22"/>
  <c r="H42" i="70"/>
  <c r="D34" i="67" l="1"/>
  <c r="H33" i="69"/>
  <c r="F6" i="69"/>
  <c r="J16" i="22"/>
  <c r="I21" i="22"/>
  <c r="J21" i="22" s="1"/>
  <c r="E54" i="51"/>
  <c r="B6" i="70"/>
  <c r="B68" i="67"/>
  <c r="B62" i="67"/>
  <c r="E17" i="57"/>
  <c r="E24" i="57" s="1"/>
  <c r="D17" i="57"/>
  <c r="D24" i="57" s="1"/>
  <c r="J12" i="22"/>
  <c r="I40" i="22"/>
  <c r="E40" i="22"/>
  <c r="H35" i="67"/>
  <c r="E40" i="50"/>
  <c r="E47" i="50" s="1"/>
  <c r="E12" i="51"/>
  <c r="B7" i="67"/>
  <c r="H17" i="50"/>
  <c r="J72" i="67"/>
  <c r="H9" i="47"/>
  <c r="D32" i="67"/>
  <c r="K72" i="67"/>
  <c r="B6" i="67"/>
  <c r="G17" i="50"/>
  <c r="G40" i="50" l="1"/>
  <c r="N70" i="47"/>
  <c r="I43" i="22"/>
  <c r="J40" i="22"/>
  <c r="J43" i="22" s="1"/>
  <c r="C21" i="42" s="1"/>
  <c r="K34" i="48"/>
  <c r="F38" i="48"/>
  <c r="G34" i="48"/>
  <c r="D6" i="69"/>
  <c r="J6" i="69" s="1"/>
  <c r="H23" i="47"/>
  <c r="J33" i="69"/>
  <c r="K33" i="69" s="1"/>
  <c r="D6" i="67"/>
  <c r="H6" i="67"/>
  <c r="J6" i="67" s="1"/>
  <c r="B71" i="67"/>
  <c r="H35" i="47"/>
  <c r="O70" i="47" s="1"/>
  <c r="H40" i="50"/>
  <c r="B15" i="70"/>
  <c r="H62" i="67"/>
  <c r="B22" i="74"/>
  <c r="B66" i="67"/>
  <c r="K12" i="48"/>
  <c r="G12" i="48"/>
  <c r="D5" i="49"/>
  <c r="F17" i="48"/>
  <c r="J42" i="70"/>
  <c r="K42" i="70" s="1"/>
  <c r="H7" i="67"/>
  <c r="B77" i="67"/>
  <c r="H45" i="67"/>
  <c r="J45" i="67" s="1"/>
  <c r="H17" i="67"/>
  <c r="J17" i="67" s="1"/>
  <c r="J18" i="67" s="1"/>
  <c r="H53" i="67"/>
  <c r="J53" i="67" s="1"/>
  <c r="H56" i="67"/>
  <c r="J56" i="67" s="1"/>
  <c r="H9" i="67"/>
  <c r="J9" i="67" s="1"/>
  <c r="H27" i="67"/>
  <c r="J27" i="67" s="1"/>
  <c r="H54" i="67"/>
  <c r="J54" i="67" s="1"/>
  <c r="H36" i="67"/>
  <c r="J36" i="67" s="1"/>
  <c r="H58" i="67"/>
  <c r="J58" i="67" s="1"/>
  <c r="H22" i="67"/>
  <c r="J22" i="67" s="1"/>
  <c r="H37" i="67"/>
  <c r="J37" i="67" s="1"/>
  <c r="H57" i="67"/>
  <c r="J57" i="67" s="1"/>
  <c r="I15" i="47"/>
  <c r="H21" i="67"/>
  <c r="H44" i="67"/>
  <c r="J44" i="67" s="1"/>
  <c r="J49" i="67" s="1"/>
  <c r="H47" i="67"/>
  <c r="J47" i="67" s="1"/>
  <c r="H46" i="67"/>
  <c r="J46" i="67" s="1"/>
  <c r="H52" i="67"/>
  <c r="H31" i="67"/>
  <c r="H55" i="67"/>
  <c r="J55" i="67" s="1"/>
  <c r="H8" i="67"/>
  <c r="J8" i="67" s="1"/>
  <c r="H48" i="67"/>
  <c r="J48" i="67" s="1"/>
  <c r="H23" i="67"/>
  <c r="J23" i="67" s="1"/>
  <c r="H13" i="67"/>
  <c r="J13" i="67" s="1"/>
  <c r="H25" i="67"/>
  <c r="J25" i="67" s="1"/>
  <c r="H14" i="67"/>
  <c r="J14" i="67" s="1"/>
  <c r="H15" i="67"/>
  <c r="J15" i="67" s="1"/>
  <c r="H16" i="67"/>
  <c r="J16" i="67" s="1"/>
  <c r="H26" i="67"/>
  <c r="J26" i="67" s="1"/>
  <c r="H24" i="67"/>
  <c r="J24" i="67" s="1"/>
  <c r="H65" i="67"/>
  <c r="J65" i="67" s="1"/>
  <c r="H64" i="67"/>
  <c r="J64" i="67" s="1"/>
  <c r="H32" i="67"/>
  <c r="J32" i="67" s="1"/>
  <c r="H63" i="67"/>
  <c r="J63" i="67" s="1"/>
  <c r="H5" i="67"/>
  <c r="H33" i="67"/>
  <c r="H34" i="67"/>
  <c r="C5" i="59"/>
  <c r="C14" i="59" s="1"/>
  <c r="C18" i="59" s="1"/>
  <c r="E17" i="51"/>
  <c r="B12" i="70"/>
  <c r="J34" i="67"/>
  <c r="G27" i="48"/>
  <c r="K27" i="48"/>
  <c r="F32" i="48"/>
  <c r="F5" i="67" l="1"/>
  <c r="L12" i="48"/>
  <c r="K17" i="48"/>
  <c r="F38" i="51"/>
  <c r="G38" i="51" s="1"/>
  <c r="G34" i="51"/>
  <c r="K34" i="51"/>
  <c r="I63" i="47"/>
  <c r="I41" i="47"/>
  <c r="G32" i="48"/>
  <c r="F33" i="67"/>
  <c r="D33" i="67" s="1"/>
  <c r="J33" i="67" s="1"/>
  <c r="L27" i="48"/>
  <c r="K32" i="48"/>
  <c r="L32" i="48" s="1"/>
  <c r="E52" i="51"/>
  <c r="E40" i="51"/>
  <c r="E47" i="51" s="1"/>
  <c r="C20" i="59" s="1"/>
  <c r="G38" i="48"/>
  <c r="B24" i="74"/>
  <c r="B34" i="74" s="1"/>
  <c r="B37" i="74" s="1"/>
  <c r="F22" i="74"/>
  <c r="F24" i="74" s="1"/>
  <c r="D38" i="74"/>
  <c r="L34" i="48"/>
  <c r="K38" i="48"/>
  <c r="L38" i="48" s="1"/>
  <c r="F40" i="48"/>
  <c r="G17" i="48"/>
  <c r="B19" i="70"/>
  <c r="G27" i="51"/>
  <c r="K27" i="51"/>
  <c r="F32" i="51"/>
  <c r="B21" i="70"/>
  <c r="I5" i="49"/>
  <c r="E5" i="49"/>
  <c r="D14" i="49"/>
  <c r="E30" i="57"/>
  <c r="H47" i="50"/>
  <c r="F19" i="37"/>
  <c r="D30" i="57"/>
  <c r="G47" i="50"/>
  <c r="C45" i="42" l="1"/>
  <c r="J19" i="37"/>
  <c r="F21" i="37"/>
  <c r="C94" i="21"/>
  <c r="D16" i="49"/>
  <c r="E14" i="49"/>
  <c r="K40" i="48"/>
  <c r="L40" i="48" s="1"/>
  <c r="L17" i="48"/>
  <c r="H74" i="67"/>
  <c r="H44" i="70"/>
  <c r="J5" i="49"/>
  <c r="I14" i="49"/>
  <c r="G32" i="51"/>
  <c r="K38" i="51"/>
  <c r="L38" i="51" s="1"/>
  <c r="L34" i="51"/>
  <c r="B38" i="70"/>
  <c r="H19" i="70" s="1"/>
  <c r="F35" i="67"/>
  <c r="D35" i="67" s="1"/>
  <c r="J35" i="67" s="1"/>
  <c r="L27" i="51"/>
  <c r="K32" i="51"/>
  <c r="L32" i="51" s="1"/>
  <c r="G40" i="48"/>
  <c r="C27" i="42"/>
  <c r="D24" i="74"/>
  <c r="H76" i="67"/>
  <c r="F34" i="74"/>
  <c r="J74" i="67"/>
  <c r="J44" i="70" s="1"/>
  <c r="H11" i="47"/>
  <c r="H37" i="47" s="1"/>
  <c r="O72" i="47" s="1"/>
  <c r="D5" i="67"/>
  <c r="J5" i="67" s="1"/>
  <c r="G12" i="51"/>
  <c r="K12" i="51"/>
  <c r="D5" i="59"/>
  <c r="F17" i="51"/>
  <c r="E56" i="51"/>
  <c r="F7" i="37"/>
  <c r="F13" i="37"/>
  <c r="C31" i="42"/>
  <c r="K74" i="67" l="1"/>
  <c r="F37" i="74"/>
  <c r="D34" i="74"/>
  <c r="C94" i="63"/>
  <c r="O94" i="21" s="1"/>
  <c r="F94" i="21"/>
  <c r="K94" i="21" s="1"/>
  <c r="C94" i="62"/>
  <c r="J94" i="21"/>
  <c r="G17" i="51"/>
  <c r="F40" i="51"/>
  <c r="J13" i="37"/>
  <c r="F15" i="37"/>
  <c r="F5" i="59"/>
  <c r="K5" i="59"/>
  <c r="D14" i="59"/>
  <c r="D18" i="59" s="1"/>
  <c r="H46" i="70"/>
  <c r="I16" i="49"/>
  <c r="C26" i="42" s="1"/>
  <c r="N72" i="47"/>
  <c r="J14" i="49"/>
  <c r="J16" i="49" s="1"/>
  <c r="F25" i="37"/>
  <c r="D25" i="37" s="1"/>
  <c r="J7" i="37"/>
  <c r="F9" i="37"/>
  <c r="F27" i="37" s="1"/>
  <c r="D27" i="37" s="1"/>
  <c r="C91" i="21"/>
  <c r="F7" i="67"/>
  <c r="L12" i="51"/>
  <c r="K17" i="51"/>
  <c r="D62" i="67"/>
  <c r="H21" i="70"/>
  <c r="H8" i="70"/>
  <c r="H26" i="70"/>
  <c r="H34" i="70"/>
  <c r="H10" i="70"/>
  <c r="J10" i="70" s="1"/>
  <c r="H24" i="70"/>
  <c r="H27" i="70"/>
  <c r="H25" i="70"/>
  <c r="H11" i="70"/>
  <c r="H9" i="70"/>
  <c r="H36" i="70"/>
  <c r="H30" i="70"/>
  <c r="J30" i="70" s="1"/>
  <c r="J34" i="70" s="1"/>
  <c r="H7" i="70"/>
  <c r="J7" i="70" s="1"/>
  <c r="H32" i="70"/>
  <c r="J32" i="70" s="1"/>
  <c r="H18" i="70"/>
  <c r="J18" i="70" s="1"/>
  <c r="H33" i="70"/>
  <c r="J33" i="70" s="1"/>
  <c r="H17" i="70"/>
  <c r="J17" i="70" s="1"/>
  <c r="H16" i="70"/>
  <c r="J16" i="70" s="1"/>
  <c r="H31" i="70"/>
  <c r="J31" i="70" s="1"/>
  <c r="H6" i="70"/>
  <c r="H12" i="70"/>
  <c r="H15" i="70"/>
  <c r="K19" i="37"/>
  <c r="J21" i="37"/>
  <c r="K44" i="70"/>
  <c r="L17" i="51" l="1"/>
  <c r="K40" i="51"/>
  <c r="K21" i="37"/>
  <c r="G40" i="51"/>
  <c r="F47" i="51"/>
  <c r="C91" i="62"/>
  <c r="J91" i="21"/>
  <c r="F91" i="21"/>
  <c r="K91" i="21" s="1"/>
  <c r="C91" i="63"/>
  <c r="O91" i="21"/>
  <c r="F18" i="59"/>
  <c r="G18" i="59" s="1"/>
  <c r="D20" i="59"/>
  <c r="H45" i="70"/>
  <c r="M5" i="59"/>
  <c r="H75" i="67"/>
  <c r="K14" i="59"/>
  <c r="D37" i="74"/>
  <c r="C33" i="42" s="1"/>
  <c r="J94" i="63"/>
  <c r="J111" i="63" s="1"/>
  <c r="F94" i="63"/>
  <c r="K94" i="63" s="1"/>
  <c r="J62" i="67"/>
  <c r="J66" i="67" s="1"/>
  <c r="F62" i="67"/>
  <c r="K7" i="37"/>
  <c r="J9" i="37"/>
  <c r="J25" i="37"/>
  <c r="K25" i="37" s="1"/>
  <c r="G5" i="59"/>
  <c r="F14" i="59"/>
  <c r="G14" i="59" s="1"/>
  <c r="J111" i="21"/>
  <c r="F10" i="67"/>
  <c r="D7" i="67"/>
  <c r="J7" i="67" s="1"/>
  <c r="J10" i="67" s="1"/>
  <c r="J75" i="67"/>
  <c r="J45" i="70" s="1"/>
  <c r="H12" i="47"/>
  <c r="H38" i="47" s="1"/>
  <c r="O73" i="47" s="1"/>
  <c r="F94" i="62"/>
  <c r="K94" i="62" s="1"/>
  <c r="J94" i="62"/>
  <c r="J111" i="62" s="1"/>
  <c r="K13" i="37"/>
  <c r="J15" i="37"/>
  <c r="K18" i="59" l="1"/>
  <c r="N73" i="47"/>
  <c r="K47" i="51"/>
  <c r="L40" i="51"/>
  <c r="J115" i="62"/>
  <c r="K111" i="62"/>
  <c r="F6" i="70"/>
  <c r="D10" i="67"/>
  <c r="K75" i="67"/>
  <c r="G47" i="51"/>
  <c r="N5" i="59"/>
  <c r="M14" i="59"/>
  <c r="N14" i="59" s="1"/>
  <c r="F5" i="65"/>
  <c r="K111" i="63"/>
  <c r="J115" i="63"/>
  <c r="J91" i="63"/>
  <c r="F91" i="63"/>
  <c r="K91" i="63" s="1"/>
  <c r="K15" i="37"/>
  <c r="K9" i="37"/>
  <c r="J27" i="37"/>
  <c r="K27" i="37" s="1"/>
  <c r="C20" i="42"/>
  <c r="J99" i="21"/>
  <c r="J102" i="21"/>
  <c r="J108" i="21"/>
  <c r="J107" i="21"/>
  <c r="J106" i="21"/>
  <c r="J100" i="21"/>
  <c r="J101" i="21"/>
  <c r="Q94" i="21"/>
  <c r="F15" i="70"/>
  <c r="H13" i="47"/>
  <c r="H39" i="47" s="1"/>
  <c r="O74" i="47" s="1"/>
  <c r="F66" i="67"/>
  <c r="D66" i="67" s="1"/>
  <c r="J76" i="67"/>
  <c r="J91" i="62"/>
  <c r="Q91" i="21" s="1"/>
  <c r="F91" i="62"/>
  <c r="K91" i="62" s="1"/>
  <c r="K45" i="70"/>
  <c r="J115" i="21"/>
  <c r="Q111" i="21"/>
  <c r="K111" i="21"/>
  <c r="H37" i="73" l="1"/>
  <c r="K102" i="21"/>
  <c r="H41" i="70"/>
  <c r="K99" i="21"/>
  <c r="J103" i="21"/>
  <c r="J102" i="63"/>
  <c r="Q102" i="21" s="1"/>
  <c r="J99" i="63"/>
  <c r="Q99" i="21" s="1"/>
  <c r="J107" i="63"/>
  <c r="J101" i="63"/>
  <c r="J108" i="63"/>
  <c r="J106" i="63"/>
  <c r="J100" i="63"/>
  <c r="D5" i="65"/>
  <c r="J5" i="65" s="1"/>
  <c r="J7" i="65" s="1"/>
  <c r="F7" i="65"/>
  <c r="K101" i="21"/>
  <c r="H21" i="66"/>
  <c r="J46" i="70"/>
  <c r="K46" i="70" s="1"/>
  <c r="K76" i="67"/>
  <c r="K100" i="21"/>
  <c r="K106" i="21"/>
  <c r="J109" i="21"/>
  <c r="M18" i="59"/>
  <c r="N18" i="59" s="1"/>
  <c r="K20" i="59"/>
  <c r="C28" i="42" s="1"/>
  <c r="K107" i="21"/>
  <c r="K52" i="51"/>
  <c r="L47" i="51"/>
  <c r="L52" i="51" s="1"/>
  <c r="C29" i="42" s="1"/>
  <c r="J107" i="62"/>
  <c r="J99" i="62"/>
  <c r="J101" i="62"/>
  <c r="J102" i="62"/>
  <c r="J108" i="62"/>
  <c r="J100" i="62"/>
  <c r="J106" i="62"/>
  <c r="D15" i="70"/>
  <c r="J15" i="70" s="1"/>
  <c r="J19" i="70" s="1"/>
  <c r="F19" i="70"/>
  <c r="D19" i="70" s="1"/>
  <c r="K108" i="21"/>
  <c r="Q108" i="21"/>
  <c r="D6" i="70"/>
  <c r="J6" i="70" s="1"/>
  <c r="K101" i="62" l="1"/>
  <c r="F39" i="64"/>
  <c r="H50" i="64"/>
  <c r="H55" i="64" s="1"/>
  <c r="H71" i="67"/>
  <c r="H78" i="67" s="1"/>
  <c r="K99" i="62"/>
  <c r="F31" i="67"/>
  <c r="J103" i="62"/>
  <c r="Q101" i="21"/>
  <c r="F21" i="67"/>
  <c r="K107" i="62"/>
  <c r="Q107" i="21"/>
  <c r="H26" i="66"/>
  <c r="F17" i="69"/>
  <c r="K100" i="63"/>
  <c r="J109" i="63"/>
  <c r="K109" i="63" s="1"/>
  <c r="F11" i="72"/>
  <c r="K106" i="63"/>
  <c r="J109" i="62"/>
  <c r="K109" i="62" s="1"/>
  <c r="K106" i="62"/>
  <c r="F13" i="71"/>
  <c r="H32" i="71"/>
  <c r="H39" i="71" s="1"/>
  <c r="F10" i="65"/>
  <c r="K108" i="63"/>
  <c r="H44" i="73"/>
  <c r="Q100" i="21"/>
  <c r="K100" i="62"/>
  <c r="F52" i="67"/>
  <c r="Q106" i="21"/>
  <c r="H22" i="65"/>
  <c r="F15" i="65"/>
  <c r="K101" i="63"/>
  <c r="K108" i="62"/>
  <c r="F21" i="64"/>
  <c r="K109" i="21"/>
  <c r="Q109" i="21"/>
  <c r="F11" i="69"/>
  <c r="K107" i="63"/>
  <c r="J114" i="21"/>
  <c r="K103" i="21"/>
  <c r="N69" i="47"/>
  <c r="N76" i="47" s="1"/>
  <c r="J103" i="63"/>
  <c r="Q103" i="21" s="1"/>
  <c r="K99" i="63"/>
  <c r="H32" i="69"/>
  <c r="F5" i="69"/>
  <c r="F14" i="66"/>
  <c r="D7" i="65"/>
  <c r="H27" i="72"/>
  <c r="K102" i="63"/>
  <c r="F5" i="72"/>
  <c r="H48" i="70"/>
  <c r="F8" i="69" l="1"/>
  <c r="H22" i="47"/>
  <c r="H27" i="47" s="1"/>
  <c r="J27" i="47" s="1"/>
  <c r="J32" i="69"/>
  <c r="J37" i="69" s="1"/>
  <c r="D5" i="69"/>
  <c r="J5" i="69" s="1"/>
  <c r="J8" i="69" s="1"/>
  <c r="D11" i="69"/>
  <c r="J11" i="69" s="1"/>
  <c r="J14" i="69" s="1"/>
  <c r="F14" i="69"/>
  <c r="F59" i="67"/>
  <c r="D52" i="67"/>
  <c r="J52" i="67" s="1"/>
  <c r="J59" i="67" s="1"/>
  <c r="D10" i="65"/>
  <c r="J10" i="65" s="1"/>
  <c r="J12" i="65" s="1"/>
  <c r="F12" i="65"/>
  <c r="K22" i="47"/>
  <c r="K27" i="47" s="1"/>
  <c r="M27" i="47" s="1"/>
  <c r="J22" i="65"/>
  <c r="J25" i="65" s="1"/>
  <c r="J27" i="72"/>
  <c r="J32" i="72" s="1"/>
  <c r="E22" i="47"/>
  <c r="E27" i="47" s="1"/>
  <c r="D5" i="72"/>
  <c r="J5" i="72" s="1"/>
  <c r="J8" i="72" s="1"/>
  <c r="F8" i="72"/>
  <c r="K32" i="69"/>
  <c r="H37" i="69"/>
  <c r="K8" i="47"/>
  <c r="D21" i="64"/>
  <c r="J21" i="64" s="1"/>
  <c r="J28" i="64" s="1"/>
  <c r="J50" i="64"/>
  <c r="F28" i="64"/>
  <c r="F18" i="65"/>
  <c r="D15" i="65"/>
  <c r="J15" i="65" s="1"/>
  <c r="J18" i="65" s="1"/>
  <c r="H8" i="47"/>
  <c r="F28" i="67"/>
  <c r="J71" i="67"/>
  <c r="D21" i="67"/>
  <c r="J21" i="67" s="1"/>
  <c r="J28" i="67" s="1"/>
  <c r="H32" i="72"/>
  <c r="H25" i="65"/>
  <c r="K25" i="65" s="1"/>
  <c r="K22" i="65"/>
  <c r="D14" i="66"/>
  <c r="J14" i="66" s="1"/>
  <c r="K103" i="63"/>
  <c r="J114" i="63"/>
  <c r="C18" i="42" s="1"/>
  <c r="C17" i="42"/>
  <c r="F14" i="72"/>
  <c r="D11" i="72"/>
  <c r="J11" i="72" s="1"/>
  <c r="J14" i="72" s="1"/>
  <c r="F20" i="71"/>
  <c r="D13" i="71"/>
  <c r="J13" i="71" s="1"/>
  <c r="J20" i="71" s="1"/>
  <c r="J29" i="71" s="1"/>
  <c r="J32" i="71"/>
  <c r="E8" i="47"/>
  <c r="F20" i="69"/>
  <c r="D17" i="69"/>
  <c r="J17" i="69" s="1"/>
  <c r="J20" i="69" s="1"/>
  <c r="J114" i="62"/>
  <c r="C19" i="42" s="1"/>
  <c r="K103" i="62"/>
  <c r="D31" i="67"/>
  <c r="J31" i="67" s="1"/>
  <c r="J38" i="67" s="1"/>
  <c r="F38" i="67"/>
  <c r="F9" i="70" s="1"/>
  <c r="D9" i="70" s="1"/>
  <c r="J9" i="70" s="1"/>
  <c r="F46" i="64"/>
  <c r="D39" i="64"/>
  <c r="J39" i="64" s="1"/>
  <c r="J46" i="64" s="1"/>
  <c r="D20" i="71" l="1"/>
  <c r="F7" i="73"/>
  <c r="F29" i="71"/>
  <c r="C13" i="42"/>
  <c r="K27" i="72"/>
  <c r="G27" i="47"/>
  <c r="H60" i="47"/>
  <c r="F8" i="66"/>
  <c r="D28" i="64"/>
  <c r="F48" i="64"/>
  <c r="K32" i="72"/>
  <c r="F15" i="66"/>
  <c r="D12" i="65"/>
  <c r="F20" i="65"/>
  <c r="K64" i="47" s="1"/>
  <c r="F25" i="70"/>
  <c r="D25" i="70" s="1"/>
  <c r="J25" i="70" s="1"/>
  <c r="D14" i="69"/>
  <c r="D20" i="69"/>
  <c r="F26" i="70"/>
  <c r="D26" i="70" s="1"/>
  <c r="J26" i="70" s="1"/>
  <c r="F21" i="73"/>
  <c r="D21" i="73" s="1"/>
  <c r="J21" i="73" s="1"/>
  <c r="D14" i="72"/>
  <c r="K50" i="64"/>
  <c r="J21" i="66"/>
  <c r="J55" i="64"/>
  <c r="K55" i="64" s="1"/>
  <c r="J20" i="65"/>
  <c r="J29" i="69"/>
  <c r="J48" i="64"/>
  <c r="K37" i="69"/>
  <c r="C10" i="42" s="1"/>
  <c r="E34" i="47"/>
  <c r="E15" i="47"/>
  <c r="J68" i="67"/>
  <c r="K34" i="47"/>
  <c r="K41" i="47" s="1"/>
  <c r="M41" i="47" s="1"/>
  <c r="K15" i="47"/>
  <c r="D59" i="67"/>
  <c r="F11" i="70"/>
  <c r="D11" i="70" s="1"/>
  <c r="J11" i="70" s="1"/>
  <c r="D46" i="64"/>
  <c r="F10" i="66"/>
  <c r="D10" i="66" s="1"/>
  <c r="J10" i="66" s="1"/>
  <c r="K32" i="71"/>
  <c r="J37" i="73"/>
  <c r="J39" i="71"/>
  <c r="K39" i="71" s="1"/>
  <c r="C6" i="42" s="1"/>
  <c r="K71" i="67"/>
  <c r="J78" i="67"/>
  <c r="K78" i="67" s="1"/>
  <c r="C9" i="42" s="1"/>
  <c r="J41" i="70"/>
  <c r="D8" i="69"/>
  <c r="F24" i="70"/>
  <c r="F29" i="69"/>
  <c r="H64" i="47" s="1"/>
  <c r="F8" i="70"/>
  <c r="D28" i="67"/>
  <c r="F68" i="67"/>
  <c r="F20" i="73"/>
  <c r="D8" i="72"/>
  <c r="F24" i="72"/>
  <c r="E64" i="47" s="1"/>
  <c r="H15" i="47"/>
  <c r="H34" i="47"/>
  <c r="H41" i="47" s="1"/>
  <c r="J41" i="47" s="1"/>
  <c r="D18" i="65"/>
  <c r="F16" i="66"/>
  <c r="D16" i="66" s="1"/>
  <c r="J16" i="66" s="1"/>
  <c r="J24" i="72"/>
  <c r="J44" i="73" l="1"/>
  <c r="K44" i="73" s="1"/>
  <c r="K37" i="73"/>
  <c r="C5" i="42" s="1"/>
  <c r="G15" i="47"/>
  <c r="E60" i="47"/>
  <c r="E63" i="47"/>
  <c r="C7" i="42"/>
  <c r="F27" i="70"/>
  <c r="D24" i="70"/>
  <c r="J24" i="70" s="1"/>
  <c r="J27" i="70" s="1"/>
  <c r="J36" i="70" s="1"/>
  <c r="O69" i="47"/>
  <c r="O76" i="47" s="1"/>
  <c r="E41" i="47"/>
  <c r="D15" i="66"/>
  <c r="J15" i="66" s="1"/>
  <c r="J17" i="66" s="1"/>
  <c r="F17" i="66"/>
  <c r="D17" i="66" s="1"/>
  <c r="D7" i="73"/>
  <c r="J7" i="73" s="1"/>
  <c r="J8" i="73" s="1"/>
  <c r="J17" i="73" s="1"/>
  <c r="F8" i="73"/>
  <c r="J15" i="47"/>
  <c r="H63" i="47"/>
  <c r="F22" i="73"/>
  <c r="D20" i="73"/>
  <c r="J20" i="73" s="1"/>
  <c r="J22" i="73" s="1"/>
  <c r="J32" i="73" s="1"/>
  <c r="C12" i="42"/>
  <c r="D8" i="66"/>
  <c r="J8" i="66" s="1"/>
  <c r="J11" i="66" s="1"/>
  <c r="F11" i="66"/>
  <c r="D8" i="70"/>
  <c r="J8" i="70" s="1"/>
  <c r="J12" i="70" s="1"/>
  <c r="J21" i="70" s="1"/>
  <c r="F12" i="70"/>
  <c r="J26" i="66"/>
  <c r="K26" i="66" s="1"/>
  <c r="K21" i="66"/>
  <c r="C11" i="42" s="1"/>
  <c r="J48" i="70"/>
  <c r="K48" i="70" s="1"/>
  <c r="K41" i="70"/>
  <c r="K63" i="47"/>
  <c r="M15" i="47"/>
  <c r="K60" i="47"/>
  <c r="J19" i="66" l="1"/>
  <c r="D12" i="70"/>
  <c r="F21" i="70"/>
  <c r="F19" i="66"/>
  <c r="D11" i="66"/>
  <c r="C8" i="42"/>
  <c r="J34" i="73"/>
  <c r="D22" i="73"/>
  <c r="F32" i="73"/>
  <c r="D32" i="73" s="1"/>
  <c r="J38" i="70"/>
  <c r="D27" i="70"/>
  <c r="F36" i="70"/>
  <c r="D36" i="70" s="1"/>
  <c r="D8" i="73"/>
  <c r="F17" i="73"/>
  <c r="G41" i="47"/>
  <c r="I69" i="47"/>
  <c r="I74" i="47" s="1"/>
  <c r="D17" i="73" l="1"/>
  <c r="F34" i="73"/>
  <c r="D21" i="70"/>
  <c r="F38" i="70"/>
  <c r="H69" i="47" l="1"/>
  <c r="J69" i="47" l="1"/>
  <c r="H74" i="47"/>
  <c r="J74" i="47" s="1"/>
  <c r="C4" i="42" l="1"/>
  <c r="C48"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F50" authorId="0" shapeId="0" xr:uid="{00000000-0006-0000-0100-000001000000}">
      <text>
        <r>
          <rPr>
            <b/>
            <sz val="8"/>
            <color indexed="81"/>
            <rFont val="Tahoma"/>
            <family val="2"/>
          </rPr>
          <t>stcutting:</t>
        </r>
        <r>
          <rPr>
            <sz val="8"/>
            <color indexed="81"/>
            <rFont val="Tahoma"/>
            <family val="2"/>
          </rPr>
          <t xml:space="preserve">
All ACS pieces go through the CIOSS.  Some are finalized in the AFR without needing REC keying.  Some are rejected from the CIOSS and must go to CFS.</t>
        </r>
      </text>
    </comment>
    <comment ref="F51" authorId="0" shapeId="0" xr:uid="{00000000-0006-0000-0100-000002000000}">
      <text>
        <r>
          <rPr>
            <b/>
            <sz val="8"/>
            <color indexed="81"/>
            <rFont val="Tahoma"/>
            <family val="2"/>
          </rPr>
          <t>stcutting:</t>
        </r>
        <r>
          <rPr>
            <sz val="8"/>
            <color indexed="81"/>
            <rFont val="Tahoma"/>
            <family val="2"/>
          </rPr>
          <t xml:space="preserve">
ditto</t>
        </r>
      </text>
    </comment>
    <comment ref="I52" authorId="0" shapeId="0" xr:uid="{00000000-0006-0000-0100-000003000000}">
      <text>
        <r>
          <rPr>
            <b/>
            <sz val="8"/>
            <color indexed="81"/>
            <rFont val="Tahoma"/>
            <family val="2"/>
          </rPr>
          <t>stcutting:</t>
        </r>
        <r>
          <rPr>
            <sz val="8"/>
            <color indexed="81"/>
            <rFont val="Tahoma"/>
            <family val="2"/>
          </rPr>
          <t xml:space="preserve">
not counted in total volume.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9" authorId="0" shapeId="0" xr:uid="{00000000-0006-0000-0300-000001000000}">
      <text>
        <r>
          <rPr>
            <b/>
            <sz val="8"/>
            <color indexed="81"/>
            <rFont val="Tahoma"/>
            <family val="2"/>
          </rPr>
          <t>stcutting:</t>
        </r>
        <r>
          <rPr>
            <sz val="8"/>
            <color indexed="81"/>
            <rFont val="Tahoma"/>
            <family val="2"/>
          </rPr>
          <t xml:space="preserve">
It is necessary to subtract out CIF forwards.</t>
        </r>
      </text>
    </comment>
    <comment ref="B19" authorId="0" shapeId="0" xr:uid="{00000000-0006-0000-0300-000002000000}">
      <text>
        <r>
          <rPr>
            <b/>
            <sz val="8"/>
            <color indexed="81"/>
            <rFont val="Tahoma"/>
            <family val="2"/>
          </rPr>
          <t>stcutting:</t>
        </r>
        <r>
          <rPr>
            <sz val="8"/>
            <color indexed="81"/>
            <rFont val="Tahoma"/>
            <family val="2"/>
          </rPr>
          <t xml:space="preserve">
It is necessary to subtract out INT Fwds.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9" authorId="0" shapeId="0" xr:uid="{00000000-0006-0000-0600-000001000000}">
      <text>
        <r>
          <rPr>
            <b/>
            <sz val="8"/>
            <color indexed="81"/>
            <rFont val="Tahoma"/>
            <family val="2"/>
          </rPr>
          <t>stcutting:</t>
        </r>
        <r>
          <rPr>
            <sz val="8"/>
            <color indexed="81"/>
            <rFont val="Tahoma"/>
            <family val="2"/>
          </rPr>
          <t xml:space="preserve">
It is necessary to subtract out  mail that is CIR (both old COA and BadAdd CIR).</t>
        </r>
      </text>
    </comment>
    <comment ref="B17" authorId="0" shapeId="0" xr:uid="{00000000-0006-0000-0600-000002000000}">
      <text>
        <r>
          <rPr>
            <b/>
            <sz val="8"/>
            <color indexed="81"/>
            <rFont val="Tahoma"/>
            <family val="2"/>
          </rPr>
          <t>stcutting:</t>
        </r>
        <r>
          <rPr>
            <sz val="8"/>
            <color indexed="81"/>
            <rFont val="Tahoma"/>
            <family val="2"/>
          </rPr>
          <t xml:space="preserve">
It is necessary to subtract out CIF RTS.</t>
        </r>
      </text>
    </comment>
    <comment ref="B27" authorId="0" shapeId="0" xr:uid="{00000000-0006-0000-0600-000003000000}">
      <text>
        <r>
          <rPr>
            <b/>
            <sz val="8"/>
            <color indexed="81"/>
            <rFont val="Tahoma"/>
            <family val="2"/>
          </rPr>
          <t>stcutting:</t>
        </r>
        <r>
          <rPr>
            <sz val="8"/>
            <color indexed="81"/>
            <rFont val="Tahoma"/>
            <family val="2"/>
          </rPr>
          <t xml:space="preserve">
It is necessary to subtract out INT RTS.</t>
        </r>
      </text>
    </comment>
    <comment ref="B37" authorId="0" shapeId="0" xr:uid="{00000000-0006-0000-0600-000004000000}">
      <text>
        <r>
          <rPr>
            <b/>
            <sz val="8"/>
            <color indexed="81"/>
            <rFont val="Tahoma"/>
            <family val="2"/>
          </rPr>
          <t>stcutting:</t>
        </r>
        <r>
          <rPr>
            <sz val="8"/>
            <color indexed="81"/>
            <rFont val="Tahoma"/>
            <family val="2"/>
          </rPr>
          <t xml:space="preserve">
It is necessary to subtract out mail that is INT old COA.</t>
        </r>
      </text>
    </comment>
    <comment ref="B48" authorId="0" shapeId="0" xr:uid="{00000000-0006-0000-0600-000005000000}">
      <text>
        <r>
          <rPr>
            <b/>
            <sz val="8"/>
            <color indexed="81"/>
            <rFont val="Tahoma"/>
            <family val="2"/>
          </rPr>
          <t>stcutting:</t>
        </r>
        <r>
          <rPr>
            <sz val="8"/>
            <color indexed="81"/>
            <rFont val="Tahoma"/>
            <family val="2"/>
          </rPr>
          <t xml:space="preserve">
It is necessary to subtract out CIF RTS.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7" authorId="0" shapeId="0" xr:uid="{00000000-0006-0000-0700-000001000000}">
      <text>
        <r>
          <rPr>
            <b/>
            <sz val="8"/>
            <color indexed="81"/>
            <rFont val="Tahoma"/>
            <family val="2"/>
          </rPr>
          <t>stcutting:</t>
        </r>
        <r>
          <rPr>
            <sz val="8"/>
            <color indexed="81"/>
            <rFont val="Tahoma"/>
            <family val="2"/>
          </rPr>
          <t xml:space="preserve">
This value is lower than the pre-PARS value of 30,xxx because (1) some FOE RTS pieces are intercepted at the plant and require no manual pd rating, (2) some CIR RTS pieces require no manual pd rating in the nixie unit.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17" authorId="0" shapeId="0" xr:uid="{00000000-0006-0000-0900-000001000000}">
      <text>
        <r>
          <rPr>
            <b/>
            <sz val="8"/>
            <color indexed="81"/>
            <rFont val="Tahoma"/>
            <family val="2"/>
          </rPr>
          <t>stcutting:</t>
        </r>
        <r>
          <rPr>
            <sz val="8"/>
            <color indexed="81"/>
            <rFont val="Tahoma"/>
            <family val="2"/>
          </rPr>
          <t xml:space="preserve">
It is necessary to subtract out CIF waste.</t>
        </r>
      </text>
    </comment>
    <comment ref="B27" authorId="0" shapeId="0" xr:uid="{00000000-0006-0000-0900-000002000000}">
      <text>
        <r>
          <rPr>
            <b/>
            <sz val="8"/>
            <color indexed="81"/>
            <rFont val="Tahoma"/>
            <family val="2"/>
          </rPr>
          <t>stcutting:</t>
        </r>
        <r>
          <rPr>
            <sz val="8"/>
            <color indexed="81"/>
            <rFont val="Tahoma"/>
            <family val="2"/>
          </rPr>
          <t xml:space="preserve">
It is necessary to subtract out INT waste.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5" authorId="0" shapeId="0" xr:uid="{00000000-0006-0000-0A00-000001000000}">
      <text>
        <r>
          <rPr>
            <b/>
            <sz val="8"/>
            <color indexed="81"/>
            <rFont val="Tahoma"/>
            <family val="2"/>
          </rPr>
          <t>stcutting:</t>
        </r>
        <r>
          <rPr>
            <sz val="8"/>
            <color indexed="81"/>
            <rFont val="Tahoma"/>
            <family val="2"/>
          </rPr>
          <t xml:space="preserve">
Carrier-identified non-forwardable waste is included in  PARS route table but is categorized here as non-PARS since these pieces never make it to the CIOSS for processing.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J5" authorId="0" shapeId="0" xr:uid="{00000000-0006-0000-0B00-000001000000}">
      <text>
        <r>
          <rPr>
            <b/>
            <sz val="8"/>
            <color indexed="81"/>
            <rFont val="Tahoma"/>
            <family val="2"/>
          </rPr>
          <t>stcutting:</t>
        </r>
        <r>
          <rPr>
            <sz val="8"/>
            <color indexed="81"/>
            <rFont val="Tahoma"/>
            <family val="2"/>
          </rPr>
          <t xml:space="preserve">
Forms generated on CIOSS have a one-to-one form-to -envelope factor.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C6" authorId="0" shapeId="0" xr:uid="{00000000-0006-0000-0D00-000001000000}">
      <text>
        <r>
          <rPr>
            <b/>
            <sz val="8"/>
            <color indexed="81"/>
            <rFont val="Tahoma"/>
            <family val="2"/>
          </rPr>
          <t>stcutting:</t>
        </r>
        <r>
          <rPr>
            <sz val="8"/>
            <color indexed="81"/>
            <rFont val="Tahoma"/>
            <family val="2"/>
          </rPr>
          <t xml:space="preserve">
Handing out forms, helping to complete forms.</t>
        </r>
      </text>
    </comment>
    <comment ref="D67" authorId="0" shapeId="0" xr:uid="{00000000-0006-0000-0D00-000002000000}">
      <text>
        <r>
          <rPr>
            <b/>
            <sz val="8"/>
            <color indexed="81"/>
            <rFont val="Tahoma"/>
            <family val="2"/>
          </rPr>
          <t>stcutting:</t>
        </r>
        <r>
          <rPr>
            <sz val="8"/>
            <color indexed="81"/>
            <rFont val="Tahoma"/>
            <family val="2"/>
          </rPr>
          <t xml:space="preserve">
These volumes do not contribute to the COA total.  They are already included above.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A6" authorId="0" shapeId="0" xr:uid="{00000000-0006-0000-0E00-000001000000}">
      <text>
        <r>
          <rPr>
            <b/>
            <sz val="8"/>
            <color indexed="81"/>
            <rFont val="Tahoma"/>
            <family val="2"/>
          </rPr>
          <t>stcutting:</t>
        </r>
        <r>
          <rPr>
            <sz val="8"/>
            <color indexed="81"/>
            <rFont val="Tahoma"/>
            <family val="2"/>
          </rPr>
          <t xml:space="preserve">
Includes RTS mail mistakenly put in UBBM tub and later retrieved by Nixie clerk.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A6" authorId="0" shapeId="0" xr:uid="{00000000-0006-0000-0F00-000001000000}">
      <text>
        <r>
          <rPr>
            <b/>
            <sz val="8"/>
            <color indexed="81"/>
            <rFont val="Tahoma"/>
            <family val="2"/>
          </rPr>
          <t>stcutting:</t>
        </r>
        <r>
          <rPr>
            <sz val="8"/>
            <color indexed="81"/>
            <rFont val="Tahoma"/>
            <family val="2"/>
          </rPr>
          <t xml:space="preserve">
Includes RTS mail mistakenly put in UBBM tub and later retrieved by Nixie clerk.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A6" authorId="0" shapeId="0" xr:uid="{00000000-0006-0000-1000-000001000000}">
      <text>
        <r>
          <rPr>
            <b/>
            <sz val="8"/>
            <color indexed="81"/>
            <rFont val="Tahoma"/>
            <family val="2"/>
          </rPr>
          <t>stcutting:</t>
        </r>
        <r>
          <rPr>
            <sz val="8"/>
            <color indexed="81"/>
            <rFont val="Tahoma"/>
            <family val="2"/>
          </rPr>
          <t xml:space="preserve">
Includes RTS mail mistakenly put in UBBM tub and later retrieved by Nixie clerk.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A16" authorId="0" shapeId="0" xr:uid="{00000000-0006-0000-1200-000001000000}">
      <text>
        <r>
          <rPr>
            <b/>
            <sz val="8"/>
            <color indexed="81"/>
            <rFont val="Tahoma"/>
            <family val="2"/>
          </rPr>
          <t>stcutting:</t>
        </r>
        <r>
          <rPr>
            <sz val="8"/>
            <color indexed="81"/>
            <rFont val="Tahoma"/>
            <family val="2"/>
          </rPr>
          <t xml:space="preserve">
Postage due activities subtracted out.</t>
        </r>
      </text>
    </comment>
    <comment ref="A24" authorId="0" shapeId="0" xr:uid="{00000000-0006-0000-1200-000002000000}">
      <text>
        <r>
          <rPr>
            <b/>
            <sz val="8"/>
            <color indexed="81"/>
            <rFont val="Tahoma"/>
            <family val="2"/>
          </rPr>
          <t>stcutting:</t>
        </r>
        <r>
          <rPr>
            <sz val="8"/>
            <color indexed="81"/>
            <rFont val="Tahoma"/>
            <family val="2"/>
          </rPr>
          <t xml:space="preserve">
Postage due activities subtracted out.</t>
        </r>
      </text>
    </comment>
    <comment ref="A25" authorId="0" shapeId="0" xr:uid="{00000000-0006-0000-1200-000003000000}">
      <text>
        <r>
          <rPr>
            <b/>
            <sz val="8"/>
            <color indexed="81"/>
            <rFont val="Tahoma"/>
            <family val="2"/>
          </rPr>
          <t>stcutting:</t>
        </r>
        <r>
          <rPr>
            <sz val="8"/>
            <color indexed="81"/>
            <rFont val="Tahoma"/>
            <family val="2"/>
          </rPr>
          <t xml:space="preserve">
Postage due activities subtracted out.</t>
        </r>
      </text>
    </comment>
    <comment ref="A33" authorId="0" shapeId="0" xr:uid="{00000000-0006-0000-1200-000004000000}">
      <text>
        <r>
          <rPr>
            <b/>
            <sz val="8"/>
            <color indexed="81"/>
            <rFont val="Tahoma"/>
            <family val="2"/>
          </rPr>
          <t>stcutting:</t>
        </r>
        <r>
          <rPr>
            <sz val="8"/>
            <color indexed="81"/>
            <rFont val="Tahoma"/>
            <family val="2"/>
          </rPr>
          <t xml:space="preserve">
Includes INT old COA, CIR COA, and CIR Bad Add.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G8" authorId="0" shapeId="0" xr:uid="{00000000-0006-0000-1A00-000001000000}">
      <text>
        <r>
          <rPr>
            <b/>
            <sz val="8"/>
            <color indexed="81"/>
            <rFont val="Tahoma"/>
            <family val="2"/>
          </rPr>
          <t>stcutting:</t>
        </r>
        <r>
          <rPr>
            <sz val="8"/>
            <color indexed="81"/>
            <rFont val="Tahoma"/>
            <family val="2"/>
          </rPr>
          <t xml:space="preserve">
Non-ACS keying of ACS pieces is cheaper than non-ACS keying of non-ACS pieces because only a subset of ACS pieces in column E require non-ACS keying.  The non-ACS productivity for ACS pieces has been adjusted to account for this.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stcutting</author>
  </authors>
  <commentList>
    <comment ref="B19" authorId="0" shapeId="0" xr:uid="{00000000-0006-0000-2500-000001000000}">
      <text>
        <r>
          <rPr>
            <b/>
            <sz val="8"/>
            <color indexed="81"/>
            <rFont val="Tahoma"/>
            <family val="2"/>
          </rPr>
          <t>stcutting:</t>
        </r>
        <r>
          <rPr>
            <sz val="8"/>
            <color indexed="81"/>
            <rFont val="Tahoma"/>
            <family val="2"/>
          </rPr>
          <t xml:space="preserve">
linked to CFS dist to capture change in volume.</t>
        </r>
      </text>
    </comment>
  </commentList>
</comments>
</file>

<file path=xl/sharedStrings.xml><?xml version="1.0" encoding="utf-8"?>
<sst xmlns="http://schemas.openxmlformats.org/spreadsheetml/2006/main" count="3275" uniqueCount="821">
  <si>
    <t>(7) ACS stands for "Address Change Service," the electronic notice address correction system.</t>
  </si>
  <si>
    <t>(8) Mechanized terminals are not operational in the PARS environment.</t>
  </si>
  <si>
    <t>Non-ACS (4)</t>
  </si>
  <si>
    <t>ACS COA (4)</t>
  </si>
  <si>
    <t>ACS Nixie (4)</t>
  </si>
  <si>
    <t>(4) ACS stands for "Address Change Service," the electronic notice address correction system.</t>
  </si>
  <si>
    <t>Moved, Old COA (5)</t>
  </si>
  <si>
    <t>(5) Mail with an old forwarding order (COA age between 13 and 18 months).</t>
  </si>
  <si>
    <t>(7) Mail associated with an active COA or old COA that is identified by a carrier.</t>
  </si>
  <si>
    <t>(6) Under the One Code ACS system, all ACS letters not rejected from the CIOSS are AFR finalized.</t>
  </si>
  <si>
    <t>Volume Weighted Cost for Manual Notices</t>
  </si>
  <si>
    <t xml:space="preserve">      CIOSS/NCSC forms have a lower unit cost due to presorting.</t>
  </si>
  <si>
    <t>Plant-Intercepted Old COA RTS</t>
  </si>
  <si>
    <t>(2) Developed from FCS database 04,  Appendix C, USPS-LR-L-61.</t>
  </si>
  <si>
    <t>Table 3.25 -  Summary of Costs for REC Site Activities, Machinable UAA Letters and COA Cards</t>
  </si>
  <si>
    <t>(5) ACS nixie mail that is intercepted at the plant (old COA only) and returned.</t>
  </si>
  <si>
    <t>(18) Refer to Table 7.21 after subtracting out carrier-identified ACS nixie returned mail.</t>
  </si>
  <si>
    <t>(6) ACS nixie mail that is identified by carriers at the original delivery unit as being RTS.</t>
  </si>
  <si>
    <t>Table 3.6 - Cost of Returned-to-Sender UAA Mail, PARS Pieces -- Part 1</t>
  </si>
  <si>
    <t>Table 3.6 - Cost of Returned-to-Sender UAA Mail, PARS Pieces -- Part 2</t>
  </si>
  <si>
    <t>Table 3.17 - Cost of Processing No-Record Mail</t>
  </si>
  <si>
    <t>(6) Refer to Table 3.31.</t>
  </si>
  <si>
    <t>(3) Refer to Table 3.42 and 3.43.</t>
  </si>
  <si>
    <t>(8) UAA non-PARS mail wasted based on USPS UAA regs.  Refer to Table 3.10.</t>
  </si>
  <si>
    <t>(10) For PARS pieces, refer to Table 3.19 (CFS Cost), Table 3.25 (REC Cost), and</t>
  </si>
  <si>
    <t xml:space="preserve">       Table 3.23 (CIOSS Volumes).  For non-PARS pieces, refer to Table 3.19.</t>
  </si>
  <si>
    <t>(19) Refer to Table 7.21 after subtracting out plant-intercepted ACS nixie returned mail.</t>
  </si>
  <si>
    <t>(4) ACS nixie mail that is intercepted at the plant (old COA mail only) and wasted.</t>
  </si>
  <si>
    <t>(5) ACS nixie mail that is identified by carriers at the original delivery unit as being waste.</t>
  </si>
  <si>
    <t>(15) Refer to Table 7.21 after subtracting out carrier-identified ACS nixie waste mail.</t>
  </si>
  <si>
    <t>(16) Refer to Table 7.21 after subtracting plant-intercepted ACS nixie waste mail.</t>
  </si>
  <si>
    <t>(3) Address Change Service (ACS) mail sent to the nixie unit and then to the CFS unit.</t>
  </si>
  <si>
    <t>(2) Refer to Table 3.27.</t>
  </si>
  <si>
    <t>(4)  Volume based on Table 3.29 after subtracting out PARS non-machinable letters.</t>
  </si>
  <si>
    <t>(5) Mail associated with a COA that is identified by a carrier.</t>
  </si>
  <si>
    <r>
      <t xml:space="preserve">ACS Keying Cost
</t>
    </r>
    <r>
      <rPr>
        <u/>
        <sz val="10"/>
        <rFont val="Arial"/>
        <family val="2"/>
      </rPr>
      <t>(000s) (2)</t>
    </r>
  </si>
  <si>
    <r>
      <t xml:space="preserve">Non-ACS Keying Cost
</t>
    </r>
    <r>
      <rPr>
        <u/>
        <sz val="10"/>
        <rFont val="Arial"/>
        <family val="2"/>
      </rPr>
      <t>(000s)</t>
    </r>
  </si>
  <si>
    <r>
      <t xml:space="preserve">ACS Keying Cost
</t>
    </r>
    <r>
      <rPr>
        <u/>
        <sz val="10"/>
        <rFont val="Arial"/>
        <family val="2"/>
      </rPr>
      <t>(000s)</t>
    </r>
  </si>
  <si>
    <t>(17) Excludes Address Change Service (ACS) keying.</t>
  </si>
  <si>
    <t>(25) Excludes Address Change Service (ACS) keying.</t>
  </si>
  <si>
    <t>(6) Nixie clerk handling of ACS nixie mail is excluded.  Refer to Table 7.18.</t>
  </si>
  <si>
    <t>Keying (5)</t>
  </si>
  <si>
    <t>(12) Refer to Table 3.11 and 3.12.</t>
  </si>
  <si>
    <t>Moved, old COA (5)</t>
  </si>
  <si>
    <t>Moved, old COA (3)</t>
  </si>
  <si>
    <t>(3) Mail with an old forwarding order (COA age between 13 and 18 months).</t>
  </si>
  <si>
    <t>ACS Nixie Pieces (8)</t>
  </si>
  <si>
    <t>ACS COA Mail Pieces (8)</t>
  </si>
  <si>
    <t>(8) ACS stands for "Address Change Service."</t>
  </si>
  <si>
    <t>Table 3.23 -  Summary of Costs for CIOSS Activities, Machinable UAA Letters</t>
  </si>
  <si>
    <t>Table 3.15 - Cost of UAA at the Delivery Unit Route, Non-PARS Pieces (Parts 2 and 3)</t>
  </si>
  <si>
    <t>Table 3.15 - Cost of UAA at the Delivery Unit Route, Non-PARS Pieces (Parts 4 &amp; 5)</t>
  </si>
  <si>
    <t>Table 3.16 - Cost of UAA at the Originating Delivery Unit Route, PARS Pieces (Part 1)</t>
  </si>
  <si>
    <t>Table 3.16 - Cost of UAA at the Delivery Unit Route, PARS Pieces (Parts 2 and 3)</t>
  </si>
  <si>
    <t>Table 3.16 - Cost of UAA at the Delivery Unit Route, PARS Pieces (Parts 4 &amp; 5)</t>
  </si>
  <si>
    <t>pieces never flow back to the plant for CIOSS processing, their cost is attributed to non-PARS pieces.</t>
  </si>
  <si>
    <t>(5)  Machinable letter that are non-forwardable but not intercepted at the plant are categorized as PARS pieces.  However, since these</t>
  </si>
  <si>
    <t>Table 3.14 - Cost of UAA at the Originating Delivery Unit Route, All Pieces (Part 1)</t>
  </si>
  <si>
    <t>Table 3.14 - Cost of UAA at the Delivery Unit Route, All Pieces (Parts 2 and 3)</t>
  </si>
  <si>
    <t>Table 3.14 - Cost of UAA at the Delivery Unit Route, All Pieces (Parts 4 &amp; 5)</t>
  </si>
  <si>
    <t>(1) COA mail that is intercepted at the plant and forwarded.</t>
  </si>
  <si>
    <t>(2) COA mail that is intercepted at the plant and returned.</t>
  </si>
  <si>
    <t>(1) Non-forwardable COA mail that is intercepted at the plant and wasted.</t>
  </si>
  <si>
    <t>(2) COA mail that is intercepted at the plant and wasted.</t>
  </si>
  <si>
    <t>(3) COA mail that is identified by carriers at the original delivery unit as being waste.</t>
  </si>
  <si>
    <t>(6) Refer to Table 3.24.</t>
  </si>
  <si>
    <t>(8) Refer to Table 3.18.</t>
  </si>
  <si>
    <t>(9) Refer to Table 3.26.</t>
  </si>
  <si>
    <t>(10) Refer to Table 3.21 after subtracting out carrier-identified wasted mail.</t>
  </si>
  <si>
    <t>(12) Refer to Table 3.16.</t>
  </si>
  <si>
    <t>(13) Refer to Table 3.18.</t>
  </si>
  <si>
    <t>(14) Refer to Table 3.21 after subtracting out plant-intercepted wasted mail.</t>
  </si>
  <si>
    <t>(10) Refer to Table 3.18 after subtracting out carrier-identified nixie returned mail.</t>
  </si>
  <si>
    <t>(16) Refer to Table 3.21 after subtracting out plant-intercepted returned COA mail.</t>
  </si>
  <si>
    <t>(13) Refer to Table 3.21 after subtracting out carrier-identified returned COA mail.</t>
  </si>
  <si>
    <t>Delivery Unit Waste (1)</t>
  </si>
  <si>
    <t>CFS Unit COA Mail Waste (2)</t>
  </si>
  <si>
    <t>CFS Unit ACS Nixie Waste (3)</t>
  </si>
  <si>
    <t>(1) Mail that is wasted at the delivery unit.</t>
  </si>
  <si>
    <t>(2) Mail directly sent to CFS unit which is then wasted.</t>
  </si>
  <si>
    <t>(4) Refer to Table 3.15 and 3.16.</t>
  </si>
  <si>
    <t>(6) Refer to Table 3.15.</t>
  </si>
  <si>
    <t>Table 3.11 - Cost of Form 3547: Part 3 - All Forms</t>
  </si>
  <si>
    <t>(5) Refer to Table 3.38.</t>
  </si>
  <si>
    <t>Table 3.13 - Costs of Processing COA Cards (Form 3575, 3575Z, and 3546): Part 2 - Processing Modified/Deleted COAs</t>
  </si>
  <si>
    <t>Table 3.13 - Costs of Processing COA Cards (Form 3575, 3575Z, and 3546): Part 3 - REC Site Processing</t>
  </si>
  <si>
    <t>(4) Refer to Table 3.17.</t>
  </si>
  <si>
    <t>(1) Refer to Table 3.19.</t>
  </si>
  <si>
    <t>(4) Refer to Table 3.21.</t>
  </si>
  <si>
    <t>(3) Refer to Table 3.26.</t>
  </si>
  <si>
    <t>AFR Finalization</t>
  </si>
  <si>
    <t>CFS Processing</t>
  </si>
  <si>
    <t>Frequency</t>
  </si>
  <si>
    <t>Originating Postage Due Unit</t>
  </si>
  <si>
    <t>Destinating Accountable Mail Unit</t>
  </si>
  <si>
    <t>Collection Postage Due - Carrier</t>
  </si>
  <si>
    <t>Prepare and Mail Form 3546</t>
  </si>
  <si>
    <t>Total</t>
  </si>
  <si>
    <t>Volume</t>
  </si>
  <si>
    <t>Cost/Piece</t>
  </si>
  <si>
    <r>
      <t xml:space="preserve">Cost </t>
    </r>
    <r>
      <rPr>
        <u/>
        <sz val="10"/>
        <rFont val="Arial"/>
        <family val="2"/>
      </rPr>
      <t>Contribution</t>
    </r>
  </si>
  <si>
    <t>n/a</t>
  </si>
  <si>
    <t>HWY Contract</t>
  </si>
  <si>
    <t>ACS Nixie Processing</t>
  </si>
  <si>
    <r>
      <t>Volume</t>
    </r>
    <r>
      <rPr>
        <u/>
        <sz val="10"/>
        <rFont val="Arial"/>
        <family val="2"/>
      </rPr>
      <t xml:space="preserve"> (000s)</t>
    </r>
  </si>
  <si>
    <r>
      <t xml:space="preserve">Total Cost </t>
    </r>
    <r>
      <rPr>
        <u/>
        <sz val="10"/>
        <rFont val="Arial"/>
        <family val="2"/>
      </rPr>
      <t>(000s)</t>
    </r>
  </si>
  <si>
    <t>Form 3547 ave. batch size</t>
  </si>
  <si>
    <t>Form 3579 ave. batch size</t>
  </si>
  <si>
    <t>Form 3547 Distribution by category</t>
  </si>
  <si>
    <t>Photo and Treat as Waste</t>
  </si>
  <si>
    <t>Total Form 3547 Volume</t>
  </si>
  <si>
    <t>Total Form 3579 Volume</t>
  </si>
  <si>
    <t>Weighted</t>
  </si>
  <si>
    <t>Cost per piece</t>
  </si>
  <si>
    <t>Form 3547</t>
  </si>
  <si>
    <t>Photo and Forward</t>
  </si>
  <si>
    <t>Mailstream</t>
  </si>
  <si>
    <t>Accountable Mail Clerk</t>
  </si>
  <si>
    <t>Carrier Delivery/Collection of Postage Due</t>
  </si>
  <si>
    <t>On-Piece Corrections</t>
  </si>
  <si>
    <t>Total Form 3547</t>
  </si>
  <si>
    <t>Form 3579</t>
  </si>
  <si>
    <t>Total 3579</t>
  </si>
  <si>
    <t xml:space="preserve">Total </t>
  </si>
  <si>
    <t>ACS COA Notification</t>
  </si>
  <si>
    <t>Mechanized Terminal</t>
  </si>
  <si>
    <t>% of ACS</t>
  </si>
  <si>
    <t>TOTAL COST PER PIECE</t>
  </si>
  <si>
    <r>
      <t xml:space="preserve">Total </t>
    </r>
    <r>
      <rPr>
        <u/>
        <sz val="10"/>
        <rFont val="Arial"/>
        <family val="2"/>
      </rPr>
      <t>Cost/Piece</t>
    </r>
  </si>
  <si>
    <r>
      <t>Total</t>
    </r>
    <r>
      <rPr>
        <u/>
        <sz val="10"/>
        <rFont val="Arial"/>
        <family val="2"/>
      </rPr>
      <t xml:space="preserve"> Cost/Piece</t>
    </r>
  </si>
  <si>
    <t>City Carriers</t>
  </si>
  <si>
    <t>Rural Carriers</t>
  </si>
  <si>
    <t>PO Boxes</t>
  </si>
  <si>
    <t>Delivery Unit</t>
  </si>
  <si>
    <t>Weight</t>
  </si>
  <si>
    <r>
      <t xml:space="preserve">Actual Cost </t>
    </r>
    <r>
      <rPr>
        <u/>
        <sz val="10"/>
        <rFont val="Arial"/>
        <family val="2"/>
      </rPr>
      <t>Per Piece</t>
    </r>
  </si>
  <si>
    <t>1. CFS</t>
  </si>
  <si>
    <t>2. Mailstream</t>
  </si>
  <si>
    <t>3. Accountable Mail Clerk</t>
  </si>
  <si>
    <t>4. Carrier Delivery/Collection of Postage Due</t>
  </si>
  <si>
    <t>Total - Photo and Waste</t>
  </si>
  <si>
    <t>Total - Photo and Forward</t>
  </si>
  <si>
    <t>Letters</t>
  </si>
  <si>
    <t>Flats</t>
  </si>
  <si>
    <t>Parcels</t>
  </si>
  <si>
    <t>Total Delivery Unit Forward</t>
  </si>
  <si>
    <t>Total Delivery Unit RTS</t>
  </si>
  <si>
    <t>Accept and Clear</t>
  </si>
  <si>
    <t>Prepare and Distribute</t>
  </si>
  <si>
    <t>Collection of Postage Due</t>
  </si>
  <si>
    <t>Postage Due Mail Forwarded</t>
  </si>
  <si>
    <t>Sign For and Clear Accountable Items</t>
  </si>
  <si>
    <t>Postage Due/Address Correction Mail Returned</t>
  </si>
  <si>
    <r>
      <t xml:space="preserve">Weighted </t>
    </r>
    <r>
      <rPr>
        <u/>
        <sz val="10"/>
        <rFont val="Arial"/>
        <family val="2"/>
      </rPr>
      <t>Cost/Piece</t>
    </r>
  </si>
  <si>
    <t>Leave Notice</t>
  </si>
  <si>
    <t>Attempt Delivery</t>
  </si>
  <si>
    <t>Collect PD</t>
  </si>
  <si>
    <t>Process Refused Mail</t>
  </si>
  <si>
    <t>Total Cost/Piece for Postage Due Forwarded Mail</t>
  </si>
  <si>
    <r>
      <t xml:space="preserve">Labor </t>
    </r>
    <r>
      <rPr>
        <u/>
        <sz val="10"/>
        <rFont val="Arial"/>
        <family val="2"/>
      </rPr>
      <t>Rate</t>
    </r>
  </si>
  <si>
    <t>Refused Postage Due at Window</t>
  </si>
  <si>
    <t>Unit Costs</t>
  </si>
  <si>
    <t>Mail Processing +Transportation</t>
  </si>
  <si>
    <t>RTS Postage Due</t>
  </si>
  <si>
    <t>ACS Pieces</t>
  </si>
  <si>
    <t>Non-ACS Pieces</t>
  </si>
  <si>
    <t>Postage Due</t>
  </si>
  <si>
    <t>Percent</t>
  </si>
  <si>
    <t>Non ACS Processing Subtotals</t>
  </si>
  <si>
    <t>Non ACS Processing Costs</t>
  </si>
  <si>
    <t>ACS Keying Costs</t>
  </si>
  <si>
    <t>ACS Keying Subtotals</t>
  </si>
  <si>
    <t>Total: Non ACS Processing</t>
  </si>
  <si>
    <t>Total: ACS Keying</t>
  </si>
  <si>
    <t>Unit Cost</t>
  </si>
  <si>
    <t>Route/Window</t>
  </si>
  <si>
    <t>Accountables Unit</t>
  </si>
  <si>
    <t>Clerk Filing</t>
  </si>
  <si>
    <r>
      <t xml:space="preserve">Total Unit </t>
    </r>
    <r>
      <rPr>
        <u/>
        <sz val="10"/>
        <rFont val="Arial"/>
        <family val="2"/>
      </rPr>
      <t>Cost</t>
    </r>
  </si>
  <si>
    <t>Window Service</t>
  </si>
  <si>
    <t>Transportation Cost</t>
  </si>
  <si>
    <t>No Record Mail</t>
  </si>
  <si>
    <t>Unendorsed Bulk Business Mail (UBBM)</t>
  </si>
  <si>
    <t>check ---&gt;</t>
  </si>
  <si>
    <r>
      <t xml:space="preserve">Pieces/ </t>
    </r>
    <r>
      <rPr>
        <u/>
        <sz val="10"/>
        <rFont val="Arial"/>
        <family val="2"/>
      </rPr>
      <t>Hour</t>
    </r>
  </si>
  <si>
    <t>Volume of Form 3546 (000s) ---&gt;</t>
  </si>
  <si>
    <t>checks ---&gt;</t>
  </si>
  <si>
    <t>Piggyback factor ---&gt;</t>
  </si>
  <si>
    <t>check total mt cost ---&gt;</t>
  </si>
  <si>
    <t>check total fft cost ---&gt;</t>
  </si>
  <si>
    <t>check total cost ---&gt;</t>
  </si>
  <si>
    <t>check pd mt ---&gt;</t>
  </si>
  <si>
    <t>check pd fft ---&gt;</t>
  </si>
  <si>
    <t>check non-acs keying vol ---&gt;</t>
  </si>
  <si>
    <t>note: every piece gets a non-acs keying</t>
  </si>
  <si>
    <t>check acs mt keying vol ---&gt;</t>
  </si>
  <si>
    <t>note: only some pieces get acs keying</t>
  </si>
  <si>
    <t>check acs fft keying vol ---&gt;</t>
  </si>
  <si>
    <t>check pd mt vol ---&gt;</t>
  </si>
  <si>
    <t>note: only some pieces get pd processing</t>
  </si>
  <si>
    <t>check pd fft vol ---&gt;</t>
  </si>
  <si>
    <t>check acs keying vol ---&gt;</t>
  </si>
  <si>
    <t>Cost/ Piece</t>
  </si>
  <si>
    <r>
      <t xml:space="preserve">Adj Cost </t>
    </r>
    <r>
      <rPr>
        <u/>
        <sz val="10"/>
        <rFont val="Arial"/>
        <family val="2"/>
      </rPr>
      <t>Per Step</t>
    </r>
  </si>
  <si>
    <r>
      <t xml:space="preserve">Cost Per </t>
    </r>
    <r>
      <rPr>
        <u/>
        <sz val="10"/>
        <rFont val="Arial"/>
        <family val="2"/>
      </rPr>
      <t>Step</t>
    </r>
  </si>
  <si>
    <t>Collection Postage Due - Wind. Serv.</t>
  </si>
  <si>
    <t>Vol-Weighted</t>
  </si>
  <si>
    <t xml:space="preserve">   a. Keying and Labeling</t>
  </si>
  <si>
    <t xml:space="preserve">   d. Adjusted Subtotal</t>
  </si>
  <si>
    <t xml:space="preserve">   e. Clerk-Intercept Errors</t>
  </si>
  <si>
    <t xml:space="preserve">   f.  Total Adjusted Volume</t>
  </si>
  <si>
    <r>
      <t xml:space="preserve">COA Volume
</t>
    </r>
    <r>
      <rPr>
        <u/>
        <sz val="10"/>
        <rFont val="Arial"/>
        <family val="2"/>
      </rPr>
      <t>(000s)</t>
    </r>
  </si>
  <si>
    <r>
      <t xml:space="preserve">Overall Cost
</t>
    </r>
    <r>
      <rPr>
        <u/>
        <sz val="10"/>
        <rFont val="Arial"/>
        <family val="2"/>
      </rPr>
      <t>(000s)</t>
    </r>
  </si>
  <si>
    <r>
      <t xml:space="preserve">Total Cost
</t>
    </r>
    <r>
      <rPr>
        <u/>
        <sz val="10"/>
        <rFont val="Arial"/>
        <family val="2"/>
      </rPr>
      <t>(000s)</t>
    </r>
  </si>
  <si>
    <t>Delivery Unit Costs at Route</t>
  </si>
  <si>
    <t>All Pieces</t>
  </si>
  <si>
    <r>
      <t xml:space="preserve">Weighted Cost </t>
    </r>
    <r>
      <rPr>
        <u/>
        <sz val="10"/>
        <rFont val="Arial"/>
        <family val="2"/>
      </rPr>
      <t>Per Piece</t>
    </r>
  </si>
  <si>
    <r>
      <t xml:space="preserve">Volume
</t>
    </r>
    <r>
      <rPr>
        <u/>
        <sz val="10"/>
        <rFont val="Arial"/>
        <family val="2"/>
      </rPr>
      <t>(000s)</t>
    </r>
  </si>
  <si>
    <r>
      <t xml:space="preserve">Total Hours </t>
    </r>
    <r>
      <rPr>
        <u/>
        <sz val="10"/>
        <rFont val="Arial"/>
        <family val="2"/>
      </rPr>
      <t>(000s)</t>
    </r>
  </si>
  <si>
    <t>Rating Postage Due at the Nixie Unit</t>
  </si>
  <si>
    <t>Total Nixie Unit</t>
  </si>
  <si>
    <t>Direct/Indirect</t>
  </si>
  <si>
    <t>2. Flats Forwarding Terminal/Non-Mechanized Terminal</t>
  </si>
  <si>
    <t>Mach.</t>
  </si>
  <si>
    <t>NonMach.</t>
  </si>
  <si>
    <t>Waste Mail Verification</t>
  </si>
  <si>
    <t>check acs mt cost ---&gt;</t>
  </si>
  <si>
    <t>check acs fft cost ---&gt;</t>
  </si>
  <si>
    <t>Table</t>
  </si>
  <si>
    <t>Check Sum</t>
  </si>
  <si>
    <t>Notes:</t>
  </si>
  <si>
    <t>(1)</t>
  </si>
  <si>
    <t>Table 3.1 - Summary of Costs for Processing Undeliverable-As-Addressed Mail</t>
  </si>
  <si>
    <t>(2)</t>
  </si>
  <si>
    <t>(3)</t>
  </si>
  <si>
    <t>(4)</t>
  </si>
  <si>
    <t>(5)</t>
  </si>
  <si>
    <t>(6)</t>
  </si>
  <si>
    <t>(7)</t>
  </si>
  <si>
    <t>(8)</t>
  </si>
  <si>
    <r>
      <t>Piggyback</t>
    </r>
    <r>
      <rPr>
        <u/>
        <sz val="7.5"/>
        <rFont val="Arial"/>
        <family val="2"/>
      </rPr>
      <t xml:space="preserve"> </t>
    </r>
    <r>
      <rPr>
        <u/>
        <sz val="10"/>
        <rFont val="Arial"/>
        <family val="2"/>
      </rPr>
      <t>Factor (1)</t>
    </r>
  </si>
  <si>
    <r>
      <t xml:space="preserve">Piggyback </t>
    </r>
    <r>
      <rPr>
        <u/>
        <sz val="10"/>
        <rFont val="Arial"/>
        <family val="2"/>
      </rPr>
      <t>Factor (2)</t>
    </r>
  </si>
  <si>
    <t xml:space="preserve"> </t>
  </si>
  <si>
    <r>
      <t xml:space="preserve">Total Hours </t>
    </r>
    <r>
      <rPr>
        <u/>
        <sz val="10"/>
        <rFont val="Arial"/>
        <family val="2"/>
      </rPr>
      <t>(000s) (1)</t>
    </r>
  </si>
  <si>
    <r>
      <t xml:space="preserve">Overall Cost
</t>
    </r>
    <r>
      <rPr>
        <u/>
        <sz val="10"/>
        <rFont val="Arial"/>
        <family val="2"/>
      </rPr>
      <t>(000s) (1)</t>
    </r>
  </si>
  <si>
    <r>
      <t xml:space="preserve">Volume
</t>
    </r>
    <r>
      <rPr>
        <u/>
        <sz val="10"/>
        <rFont val="Arial"/>
        <family val="2"/>
      </rPr>
      <t>(000s) (1)</t>
    </r>
  </si>
  <si>
    <r>
      <t xml:space="preserve">Piggyback </t>
    </r>
    <r>
      <rPr>
        <u/>
        <sz val="10"/>
        <rFont val="Arial"/>
        <family val="2"/>
      </rPr>
      <t>Factor (1)</t>
    </r>
  </si>
  <si>
    <t>Volume (000s) (1)</t>
  </si>
  <si>
    <t>Originating Delivery Unit</t>
  </si>
  <si>
    <t>Destinating Delivery Unit</t>
  </si>
  <si>
    <t>Mail Processing &amp; Transportation</t>
  </si>
  <si>
    <t>Piggyback (2)</t>
  </si>
  <si>
    <r>
      <t xml:space="preserve">Error </t>
    </r>
    <r>
      <rPr>
        <u/>
        <sz val="10"/>
        <rFont val="Arial"/>
        <family val="2"/>
      </rPr>
      <t>Rate (3)</t>
    </r>
  </si>
  <si>
    <r>
      <t>Volume</t>
    </r>
    <r>
      <rPr>
        <u/>
        <sz val="10"/>
        <rFont val="Arial"/>
        <family val="2"/>
      </rPr>
      <t xml:space="preserve"> (000s) (1)</t>
    </r>
  </si>
  <si>
    <t>Photo and Discard</t>
  </si>
  <si>
    <t>On-Piece Notice</t>
  </si>
  <si>
    <t>Total Manual Address Correction Volume</t>
  </si>
  <si>
    <t xml:space="preserve">   b. No-Record Mail</t>
  </si>
  <si>
    <t xml:space="preserve">   c. No-Record Mail Errors</t>
  </si>
  <si>
    <t>(5) Assume that twice as many keystrokes are required to key ACS information as to key non-ACS information.</t>
  </si>
  <si>
    <t>(6) This productivity is developed by solving the ACS and non-ACS simultaneous equations for keying information.</t>
  </si>
  <si>
    <t>Total Cost/Piece for Postage Due Return-To-Sender Mail</t>
  </si>
  <si>
    <t>Activity</t>
  </si>
  <si>
    <t>Form 3575</t>
  </si>
  <si>
    <t>Grand Total</t>
  </si>
  <si>
    <t>All Shapes</t>
  </si>
  <si>
    <r>
      <t>Ave. Pieces/</t>
    </r>
    <r>
      <rPr>
        <u/>
        <sz val="10"/>
        <rFont val="Arial"/>
        <family val="2"/>
      </rPr>
      <t>Hour</t>
    </r>
  </si>
  <si>
    <r>
      <t>Marg. Pieces/</t>
    </r>
    <r>
      <rPr>
        <u/>
        <sz val="10"/>
        <rFont val="Arial"/>
        <family val="2"/>
      </rPr>
      <t>Hour</t>
    </r>
  </si>
  <si>
    <r>
      <t xml:space="preserve">Variability </t>
    </r>
    <r>
      <rPr>
        <u/>
        <sz val="10"/>
        <rFont val="Arial"/>
        <family val="2"/>
      </rPr>
      <t>Factor</t>
    </r>
  </si>
  <si>
    <t>Returned to Sender</t>
  </si>
  <si>
    <t>Nixie Unit RTS</t>
  </si>
  <si>
    <t>Hand Forwarded</t>
  </si>
  <si>
    <t>Subtotal</t>
  </si>
  <si>
    <t>Forwarded</t>
  </si>
  <si>
    <t>Wasted</t>
  </si>
  <si>
    <t>Returned To Sender</t>
  </si>
  <si>
    <t>Total - Nixie Unit</t>
  </si>
  <si>
    <t>ACS Nixie - Wasted at CFS Unit</t>
  </si>
  <si>
    <t>1. Mailstream: UAA Mail Directly Sent to Nixie Unit</t>
  </si>
  <si>
    <t>UAA Mail Directly Sent to Nixie Unit</t>
  </si>
  <si>
    <t>3. Mailstream: UAA Mail Directly Sent to Waste Receptacle</t>
  </si>
  <si>
    <t>UAA Mail Directly Sent to Waste Receptacle</t>
  </si>
  <si>
    <t>ACS Nixie - RTS from CFS Unit</t>
  </si>
  <si>
    <t>Total Directly Sent to Nixie Unit</t>
  </si>
  <si>
    <t>Forwarded Postage Due</t>
  </si>
  <si>
    <t>COA Mail Postage Due Activities</t>
  </si>
  <si>
    <t>COA Mail Activities, Excluding Postage Due Activities</t>
  </si>
  <si>
    <t>FF/NM Terminal</t>
  </si>
  <si>
    <t>check acsnix rts mt costs ---&gt;</t>
  </si>
  <si>
    <t>check acsnix rts fft costs ---&gt;</t>
  </si>
  <si>
    <t>check acsnix wst mt costs ---&gt;</t>
  </si>
  <si>
    <t>check acsnix wst fft costs ---&gt;</t>
  </si>
  <si>
    <t>check acsnix rts mt vol ---&gt;</t>
  </si>
  <si>
    <t>check acsnix rts fft vol ---&gt;</t>
  </si>
  <si>
    <t>check acsnix wst mt vol ---&gt;</t>
  </si>
  <si>
    <t>check acsnix wst fft vol ---&gt;</t>
  </si>
  <si>
    <t>check acsnix mt cost ---&gt;</t>
  </si>
  <si>
    <t>check acsnxi fft cost ---&gt;</t>
  </si>
  <si>
    <t>check acsnix total cost ---&gt;</t>
  </si>
  <si>
    <t>check acsnxi fft vol ---&gt;</t>
  </si>
  <si>
    <t>check acsnix total vol ---&gt;</t>
  </si>
  <si>
    <t>check acsnix mt vol ---&gt;</t>
  </si>
  <si>
    <t>Carrier Preparation</t>
  </si>
  <si>
    <t>ACS Keying Cost</t>
  </si>
  <si>
    <t>Clerk Handling - Sort By Reason</t>
  </si>
  <si>
    <t>CFS Postage Due Unit</t>
  </si>
  <si>
    <t>route module ---&gt;</t>
  </si>
  <si>
    <t>nixie module ---&gt;</t>
  </si>
  <si>
    <t>cfs module ---&gt;</t>
  </si>
  <si>
    <t>Total ---&gt;</t>
  </si>
  <si>
    <t>pd module ---&gt;</t>
  </si>
  <si>
    <t>Route</t>
  </si>
  <si>
    <t>Craft</t>
  </si>
  <si>
    <t>Nixie Unit</t>
  </si>
  <si>
    <t>CFS Unit</t>
  </si>
  <si>
    <t>Mailstream Processing &amp; Transportation</t>
  </si>
  <si>
    <t>Module</t>
  </si>
  <si>
    <t>Carrier/Clerk</t>
  </si>
  <si>
    <t>Clerk</t>
  </si>
  <si>
    <t>Cost</t>
  </si>
  <si>
    <t>($000)</t>
  </si>
  <si>
    <t>(000)</t>
  </si>
  <si>
    <t>Form 3547 Activities</t>
  </si>
  <si>
    <t>Form 3579 Activities</t>
  </si>
  <si>
    <t>Unit</t>
  </si>
  <si>
    <t>Sort/Transport</t>
  </si>
  <si>
    <t>Identify/Separate</t>
  </si>
  <si>
    <t>Clerk/MH</t>
  </si>
  <si>
    <t>Address Correction</t>
  </si>
  <si>
    <t>Forwarded (1)</t>
  </si>
  <si>
    <t>Processing &amp; Transport</t>
  </si>
  <si>
    <t>Accountable Unit</t>
  </si>
  <si>
    <t>Cost/Card</t>
  </si>
  <si>
    <r>
      <t xml:space="preserve">Total </t>
    </r>
    <r>
      <rPr>
        <u/>
        <sz val="10"/>
        <rFont val="Arial"/>
        <family val="2"/>
      </rPr>
      <t>Cost/Card</t>
    </r>
  </si>
  <si>
    <t>1. Photo and Forward</t>
  </si>
  <si>
    <t>2. Photo and Treat as Waste</t>
  </si>
  <si>
    <t>3. On Piece Notice</t>
  </si>
  <si>
    <t>ACS Nixie Notification</t>
  </si>
  <si>
    <t>ACS COA Processing</t>
  </si>
  <si>
    <t>Non-Letters</t>
  </si>
  <si>
    <t>Returned To Sender (2)</t>
  </si>
  <si>
    <t>Wasted (3)</t>
  </si>
  <si>
    <t>Nixie Work (4)</t>
  </si>
  <si>
    <t>Final Disposition</t>
  </si>
  <si>
    <t>Key/Label, Etc. (5)</t>
  </si>
  <si>
    <t>Hourly Wage - Clerk</t>
  </si>
  <si>
    <t>direct costs ---&gt;</t>
  </si>
  <si>
    <t>coa costs ---&gt;</t>
  </si>
  <si>
    <t>man note costs ---&gt;</t>
  </si>
  <si>
    <t>adm/spt costs ---&gt;</t>
  </si>
  <si>
    <t>Processing Original COAs</t>
  </si>
  <si>
    <t>Type</t>
  </si>
  <si>
    <t>Location</t>
  </si>
  <si>
    <t>Manual 3575</t>
  </si>
  <si>
    <t>W/S Clerk</t>
  </si>
  <si>
    <t>Manual 3575Z</t>
  </si>
  <si>
    <t>Carrier Filling Out Form</t>
  </si>
  <si>
    <t>Internet 3575</t>
  </si>
  <si>
    <t>Telephone 3575</t>
  </si>
  <si>
    <t>Craft/Activity</t>
  </si>
  <si>
    <t>Total -- Original COAs</t>
  </si>
  <si>
    <t>Processing Modified and Deleted COAs</t>
  </si>
  <si>
    <t>Modifications 3546</t>
  </si>
  <si>
    <t>Deletions 3575</t>
  </si>
  <si>
    <t>Total -- Modified/Deleted</t>
  </si>
  <si>
    <r>
      <t xml:space="preserve">Cards
</t>
    </r>
    <r>
      <rPr>
        <u/>
        <sz val="10"/>
        <rFont val="Arial"/>
        <family val="2"/>
      </rPr>
      <t>(000s) (1)</t>
    </r>
  </si>
  <si>
    <t>Plant</t>
  </si>
  <si>
    <t>Clerk/MH Processing</t>
  </si>
  <si>
    <t>Returned</t>
  </si>
  <si>
    <t>Volumes and Costs</t>
  </si>
  <si>
    <t>Costs (000s) (1)</t>
  </si>
  <si>
    <t>Letters (1)</t>
  </si>
  <si>
    <t>CFPS COA Scanning</t>
  </si>
  <si>
    <t>3982 Labeling</t>
  </si>
  <si>
    <t>Key From Paper</t>
  </si>
  <si>
    <t>Carrier Apply Stickers</t>
  </si>
  <si>
    <t>CFS/CIOSS Costs</t>
  </si>
  <si>
    <t>Mail Process &amp; Trans Costs</t>
  </si>
  <si>
    <t>ACS Nixie - Returned to Sender from CFS/CIOSS</t>
  </si>
  <si>
    <t>ACS Nixie - Wasted at CFS/CIOSS</t>
  </si>
  <si>
    <t>2. Mailstream: UAA Mail Directly Sent to CFS/CIOSS</t>
  </si>
  <si>
    <t>CFS/CIOSS - Forwarded</t>
  </si>
  <si>
    <t>CFS/CIOSS - Returned to Sender</t>
  </si>
  <si>
    <t>CFS/CIOSS - Wasted</t>
  </si>
  <si>
    <t>Total Directly Sent to CFS/CIOSS</t>
  </si>
  <si>
    <t>4. CFS/CIOSS No Record Mail &amp; UBBM</t>
  </si>
  <si>
    <t>5. Final Disposition Including CFS/CIOSS NRM &amp; UBBM</t>
  </si>
  <si>
    <t>UAA Mail Directly Sent to CFS/CIOSS</t>
  </si>
  <si>
    <t>CFS/CIOSS - Returned To Sender</t>
  </si>
  <si>
    <t>Total - CFS/CIOSS</t>
  </si>
  <si>
    <t>PARS Environment</t>
  </si>
  <si>
    <t>Mail Stream</t>
  </si>
  <si>
    <t>UAA Reason</t>
  </si>
  <si>
    <t>Moved, Active COA</t>
  </si>
  <si>
    <t>Mail Type</t>
  </si>
  <si>
    <t>ACS Nixie</t>
  </si>
  <si>
    <t>(1) CIOSS processing includes image lift, label application, and associated activities such as riffling.</t>
  </si>
  <si>
    <r>
      <t xml:space="preserve">Volume
</t>
    </r>
    <r>
      <rPr>
        <u/>
        <sz val="10"/>
        <rFont val="Arial"/>
        <family val="2"/>
      </rPr>
      <t>(000s) (2)</t>
    </r>
  </si>
  <si>
    <r>
      <t xml:space="preserve">Overall Cost
</t>
    </r>
    <r>
      <rPr>
        <u/>
        <sz val="10"/>
        <rFont val="Arial"/>
        <family val="2"/>
      </rPr>
      <t>(000s) (2)</t>
    </r>
  </si>
  <si>
    <r>
      <t xml:space="preserve">Piggyback </t>
    </r>
    <r>
      <rPr>
        <u/>
        <sz val="10"/>
        <rFont val="Arial"/>
        <family val="2"/>
      </rPr>
      <t>Factor (3)</t>
    </r>
  </si>
  <si>
    <t>Total CIF Mail</t>
  </si>
  <si>
    <t>Total INT Mail</t>
  </si>
  <si>
    <t>Non-ACS</t>
  </si>
  <si>
    <t>ACS</t>
  </si>
  <si>
    <t>Bad Address and Other</t>
  </si>
  <si>
    <t>Intercepted Mail (4)</t>
  </si>
  <si>
    <t>Carrier-Identified Forwards (7)</t>
  </si>
  <si>
    <t>Carrier-Identified Returns (8)</t>
  </si>
  <si>
    <t>Total CIR Mail</t>
  </si>
  <si>
    <t>(4) Mail that is intercepted by PARS-enabled machines during mail processing activities.</t>
  </si>
  <si>
    <r>
      <t xml:space="preserve">REC Total Cost
</t>
    </r>
    <r>
      <rPr>
        <u/>
        <sz val="10"/>
        <rFont val="Arial"/>
        <family val="2"/>
      </rPr>
      <t>(000s)</t>
    </r>
  </si>
  <si>
    <r>
      <t xml:space="preserve">REC Volume
</t>
    </r>
    <r>
      <rPr>
        <u/>
        <sz val="10"/>
        <rFont val="Arial"/>
        <family val="2"/>
      </rPr>
      <t>(000s)</t>
    </r>
  </si>
  <si>
    <r>
      <t xml:space="preserve">AFR Final Volume
</t>
    </r>
    <r>
      <rPr>
        <u/>
        <sz val="10"/>
        <rFont val="Arial"/>
        <family val="2"/>
      </rPr>
      <t>(000s)</t>
    </r>
  </si>
  <si>
    <t>COA Cards</t>
  </si>
  <si>
    <t>Total Mail</t>
  </si>
  <si>
    <r>
      <t xml:space="preserve">Input Volume
</t>
    </r>
    <r>
      <rPr>
        <u/>
        <sz val="10"/>
        <rFont val="Arial"/>
        <family val="2"/>
      </rPr>
      <t>(000s) (1)</t>
    </r>
  </si>
  <si>
    <r>
      <t xml:space="preserve">AFR Finalization </t>
    </r>
    <r>
      <rPr>
        <u/>
        <sz val="10"/>
        <rFont val="Arial"/>
        <family val="2"/>
      </rPr>
      <t>Rate (1)</t>
    </r>
  </si>
  <si>
    <t>Intercepted Mail (2)</t>
  </si>
  <si>
    <t>Carrier-Identified Forwards (5)</t>
  </si>
  <si>
    <t>Carrier-Identified Returns (6)</t>
  </si>
  <si>
    <t>Originals</t>
  </si>
  <si>
    <t>Mods/Deletes</t>
  </si>
  <si>
    <t>Total Card Images</t>
  </si>
  <si>
    <t>Total Mail Images</t>
  </si>
  <si>
    <t>Grand Total Images</t>
  </si>
  <si>
    <t>(2) Mail that is intercepted by PARS-enabled machines during mail processing activities.</t>
  </si>
  <si>
    <r>
      <t xml:space="preserve">REC Volume
</t>
    </r>
    <r>
      <rPr>
        <u/>
        <sz val="10"/>
        <rFont val="Arial"/>
        <family val="2"/>
      </rPr>
      <t>(000s) (1)</t>
    </r>
  </si>
  <si>
    <t>Non-CIOSS Mail</t>
  </si>
  <si>
    <t>CIOSS Reject Mail</t>
  </si>
  <si>
    <t>All Mail</t>
  </si>
  <si>
    <t>check all mail, COA ---&gt;</t>
  </si>
  <si>
    <t>check all mail, acsnix ---&gt;</t>
  </si>
  <si>
    <t>Letters Sent To CIOSS</t>
  </si>
  <si>
    <t>ACS Nixie - RTS</t>
  </si>
  <si>
    <t>ACS Nixie - Wasted</t>
  </si>
  <si>
    <t>All Other Letters</t>
  </si>
  <si>
    <t>RTS Diverted To MRC</t>
  </si>
  <si>
    <t>Total CIOSS Letters</t>
  </si>
  <si>
    <t>Total Other Letters</t>
  </si>
  <si>
    <t>All Other Shapes</t>
  </si>
  <si>
    <t>Total Other Shapes</t>
  </si>
  <si>
    <t>Total CIOSS Rejects</t>
  </si>
  <si>
    <t>All Other Mail</t>
  </si>
  <si>
    <t xml:space="preserve">(3) For CIOSS letters, there is no manual postage due rating in the nixie unit.  Rating is </t>
  </si>
  <si>
    <t>check form count ---&gt;</t>
  </si>
  <si>
    <t>check env count ---&gt;</t>
  </si>
  <si>
    <t>Total Form 3547 - CIOSS ---&gt;</t>
  </si>
  <si>
    <t>Total Form 3547 - All Forms ---&gt;</t>
  </si>
  <si>
    <t>CIOSS/CFS</t>
  </si>
  <si>
    <t>Forms Generated at All Locations</t>
  </si>
  <si>
    <r>
      <t xml:space="preserve">Forms per </t>
    </r>
    <r>
      <rPr>
        <u/>
        <sz val="10"/>
        <rFont val="Arial"/>
        <family val="2"/>
      </rPr>
      <t>Envelope</t>
    </r>
  </si>
  <si>
    <r>
      <t>Total Mailstream Processing</t>
    </r>
    <r>
      <rPr>
        <u/>
        <sz val="10"/>
        <rFont val="Arial"/>
        <family val="2"/>
      </rPr>
      <t xml:space="preserve"> Cost Per Envelope</t>
    </r>
  </si>
  <si>
    <t>CIOSS</t>
  </si>
  <si>
    <t>AFR</t>
  </si>
  <si>
    <t>REC</t>
  </si>
  <si>
    <t>Input</t>
  </si>
  <si>
    <t>Rejects</t>
  </si>
  <si>
    <t>Finalized</t>
  </si>
  <si>
    <t>COA Mail</t>
  </si>
  <si>
    <t>Nixie Mail</t>
  </si>
  <si>
    <t>Non-Forwardable Mail</t>
  </si>
  <si>
    <t>AFR Finalized</t>
  </si>
  <si>
    <t>REC Finalized</t>
  </si>
  <si>
    <t>CFS</t>
  </si>
  <si>
    <t>FF/NM Terminal (3)</t>
  </si>
  <si>
    <t>Mechanized Terminal (4)</t>
  </si>
  <si>
    <t>FF/NM Terminal (5)</t>
  </si>
  <si>
    <t>(4) Mechanized terminals are not operational in the PARS environment.</t>
  </si>
  <si>
    <t>AFR Finalized (6)</t>
  </si>
  <si>
    <t>ACS COA</t>
  </si>
  <si>
    <t>For some types of mail, image lift occurs on upstream, PARS-enabled machines such as AFCS, MLOCR, and DIOSS machines.</t>
  </si>
  <si>
    <r>
      <t xml:space="preserve">Hours
</t>
    </r>
    <r>
      <rPr>
        <u/>
        <sz val="10"/>
        <rFont val="Arial"/>
        <family val="2"/>
      </rPr>
      <t>(000s)</t>
    </r>
  </si>
  <si>
    <t>Non-PARS Pieces (2)</t>
  </si>
  <si>
    <t>(1) Refer to Table 3.11.</t>
  </si>
  <si>
    <t>CIOSS Processing</t>
  </si>
  <si>
    <t>COA Images</t>
  </si>
  <si>
    <t>CIF Forwarded</t>
  </si>
  <si>
    <t>CIF Returned</t>
  </si>
  <si>
    <t>CIF Wasted</t>
  </si>
  <si>
    <t>CIR Returned</t>
  </si>
  <si>
    <t>Clerk Handling - Verifying Waste</t>
  </si>
  <si>
    <t>CIOSS Rejects - Nixie Unit Processing</t>
  </si>
  <si>
    <t>CIOSS Rejects - CFS Unit Processing</t>
  </si>
  <si>
    <t>Non-PARS Pieces</t>
  </si>
  <si>
    <t>Plant-Intercepted Non-Forwardable Waste</t>
  </si>
  <si>
    <t>Plant-Intercepted COA Mail Waste</t>
  </si>
  <si>
    <t>Carrier-Identified COA Mail Waste</t>
  </si>
  <si>
    <t>Total Non-PARS Pieces</t>
  </si>
  <si>
    <t>Clerk Handling - Prep for CIOSS</t>
  </si>
  <si>
    <t>Delivery Unit Waste</t>
  </si>
  <si>
    <t>CFS Unit COA Mail Waste</t>
  </si>
  <si>
    <t>CFS Unit ACS Nixie Waste</t>
  </si>
  <si>
    <t>REC Site Finalization, Non-ACS Pieces</t>
  </si>
  <si>
    <t>Carrier-Identified ACS Nixie Mail Waste</t>
  </si>
  <si>
    <t>Plant-Intercepted ACS Nixie Mail Waste</t>
  </si>
  <si>
    <t>cioss module ---&gt;</t>
  </si>
  <si>
    <t>rec module ---&gt;</t>
  </si>
  <si>
    <t>Total PARS Pieces</t>
  </si>
  <si>
    <t>PARS Pieces</t>
  </si>
  <si>
    <t>Plant-Intercepted COA Mail RTS</t>
  </si>
  <si>
    <t>Carrier-Identified COA Mail RTS</t>
  </si>
  <si>
    <t>Plant-Intercepted ACS Nixie Mail RTS</t>
  </si>
  <si>
    <t>Carrier-Identified ACS Nixie Mail RTS</t>
  </si>
  <si>
    <t>Carrier-Identified Nixie Mail RTS</t>
  </si>
  <si>
    <t>Pieces</t>
  </si>
  <si>
    <t>Forwarded Mail</t>
  </si>
  <si>
    <t>Returned-To-Sender Mail</t>
  </si>
  <si>
    <r>
      <t xml:space="preserve">PARS </t>
    </r>
    <r>
      <rPr>
        <u/>
        <sz val="10"/>
        <rFont val="Arial"/>
        <family val="2"/>
      </rPr>
      <t>Pieces (000)</t>
    </r>
  </si>
  <si>
    <r>
      <t xml:space="preserve">Non-PARS </t>
    </r>
    <r>
      <rPr>
        <u/>
        <sz val="10"/>
        <rFont val="Arial"/>
        <family val="2"/>
      </rPr>
      <t>Pieces (000)</t>
    </r>
  </si>
  <si>
    <r>
      <t xml:space="preserve">Total </t>
    </r>
    <r>
      <rPr>
        <u/>
        <sz val="10"/>
        <rFont val="Arial"/>
        <family val="2"/>
      </rPr>
      <t>Pieces (000)</t>
    </r>
  </si>
  <si>
    <t>Downstream Activities</t>
  </si>
  <si>
    <t>mp trans module ---&gt;</t>
  </si>
  <si>
    <t>Delivery Unit RTS</t>
  </si>
  <si>
    <t>Clerk Handling - Prep/Mark Up</t>
  </si>
  <si>
    <t>CFS Unit COA Mail RTS</t>
  </si>
  <si>
    <t>CFS Unit ACS Nixie RTS</t>
  </si>
  <si>
    <t>Table 3.3 - Cost of Forwarded UAA Mail, PARS Pieces</t>
  </si>
  <si>
    <t>Plant-Intercepted COA Mail Forwarded</t>
  </si>
  <si>
    <t>Carrier-Identified COA Mail Forwarded</t>
  </si>
  <si>
    <t>Delivery Unit Hand Forwarded</t>
  </si>
  <si>
    <t>CFS Unit COA Mail Forwarded</t>
  </si>
  <si>
    <t>Activities Directly Associated with UAA Mail -- PARS Pieces</t>
  </si>
  <si>
    <t>Activities Directly Associated with UAA Mail -- Non-PARS Pieces</t>
  </si>
  <si>
    <t>REC Site</t>
  </si>
  <si>
    <t>Image Lift/Label</t>
  </si>
  <si>
    <t>Activities Directly Associated with UAA Mail -- All Pieces</t>
  </si>
  <si>
    <t>PARS</t>
  </si>
  <si>
    <t>Non-PARS</t>
  </si>
  <si>
    <t>Clerk Keying</t>
  </si>
  <si>
    <t>REC Site Processing</t>
  </si>
  <si>
    <t>Total -- REC Site</t>
  </si>
  <si>
    <t>Total Cost ($000)</t>
  </si>
  <si>
    <t>Machinable Letters</t>
  </si>
  <si>
    <t>Non-Machinable Letters</t>
  </si>
  <si>
    <t>Machinable Parcels</t>
  </si>
  <si>
    <t>Non-Machinable Parcels</t>
  </si>
  <si>
    <t>All Forwarded Pieces</t>
  </si>
  <si>
    <t>All RTS Pieces</t>
  </si>
  <si>
    <t>Non-Machinable Letters (1)</t>
  </si>
  <si>
    <t>(1)  PARS letters rejected from the CIOSS machine.</t>
  </si>
  <si>
    <t>Table 3.2 - Cost of Forwarded UAA Mail, All Pieces</t>
  </si>
  <si>
    <t>Table 3.4 - Cost of Forwarded UAA Mail, Non-PARS Pieces</t>
  </si>
  <si>
    <t>Table 3.5 - Cost of Returned-to-Sender UAA Mail, All Pieces</t>
  </si>
  <si>
    <t>Table 3.7 - Cost of Returned-to-Sender UAA Mail, Non-PARS Pieces</t>
  </si>
  <si>
    <t>Table 3.8 - Cost of Wasted UAA Mail, All Pieces</t>
  </si>
  <si>
    <t>Table 3.9 - Cost of Wasted UAA Mail, PARS Pieces</t>
  </si>
  <si>
    <t>Table 3.10 - Cost of Wasted UAA Mail, Non-PARS Pieces</t>
  </si>
  <si>
    <t>Table 3.11 - Cost of Form 3547: Part 1 - Forms Generated on CIOSS Machines</t>
  </si>
  <si>
    <t>Table 3.12 - Cost of Form 3579</t>
  </si>
  <si>
    <t>Table 3.13 - Costs of Processing COA Cards (Form 3575, 3575Z, and 3546): Part 1 - Processing Original COAs</t>
  </si>
  <si>
    <t>UAA Baseline Cost Model Tables</t>
  </si>
  <si>
    <t>Table 3.18 - Cost of UAA at the Originating Nixie Unit (Excluding Postage Due Processing)</t>
  </si>
  <si>
    <t>Table 3.19 - Summary of Cost of UAA at CFS Unit: Part 1 - Non-CIOSS Mail</t>
  </si>
  <si>
    <t>Table 3.20 - Non-CIOSS Mail CFS Processing Costs: Part 1 - COA Mail Activities, Excluding Postage Due</t>
  </si>
  <si>
    <t>Table 3.21 - CIOSS Reject Mail CFS Processing Costs: Part 1 - COA Mail Activities, Excluding Postage Due</t>
  </si>
  <si>
    <t>Table 3.22 - CFS COA Mail Keying and Labeling Productivities</t>
  </si>
  <si>
    <t>Table 3.24 - Detailed CIOSS Processing Cost (1), Machinable Letters</t>
  </si>
  <si>
    <t>Forwarded (6)</t>
  </si>
  <si>
    <t>Returned To Sender (7)</t>
  </si>
  <si>
    <t>Wasted (8)</t>
  </si>
  <si>
    <t>COA Card Processing (9)</t>
  </si>
  <si>
    <t>(1) UAA PARS mail that is forwarded to a new destination address.  Refer to Table 3.3.</t>
  </si>
  <si>
    <t>(2) UAA PARS mail that is returned to the sender's address.  Refer to Table 3.6.</t>
  </si>
  <si>
    <t>(3) UAA PARS mail that is wasted based on USPS UAA regulations.  Refer to Table 3.9.</t>
  </si>
  <si>
    <t>(6) UAA non-PARS mail that is forwarded to a new destination address.  Refer to Table 3.4.</t>
  </si>
  <si>
    <t>(7) UAA non-PARS mail that is returned to the sender's address.  Refer to Table 3.7.</t>
  </si>
  <si>
    <t>(9) Refer to Table 3.13. Includes Forms 3575, 3575Z, and 3546.</t>
  </si>
  <si>
    <t>PARS Pieces (1)</t>
  </si>
  <si>
    <t>(1) Refer to Table 3.3.</t>
  </si>
  <si>
    <t>(2) Refer to Table 3.4.</t>
  </si>
  <si>
    <t>Plant-Intercepted COA Mail Forwarded (1)</t>
  </si>
  <si>
    <t>Carrier-Identified COA Mail Forwarded (2)</t>
  </si>
  <si>
    <t>Downstream Activities (3)</t>
  </si>
  <si>
    <t>(2) COA mail that is identified by carriers at the original delivery unit as being forwarded.</t>
  </si>
  <si>
    <t>(3) Activities that occur after mail has been redirected.</t>
  </si>
  <si>
    <t>(9)</t>
  </si>
  <si>
    <t>(4) Refer to Table 3.24.</t>
  </si>
  <si>
    <t>(6) Refer to Table 3.26.</t>
  </si>
  <si>
    <t>(8) Refer to Table 3.21.</t>
  </si>
  <si>
    <t>(10)</t>
  </si>
  <si>
    <t>(11)</t>
  </si>
  <si>
    <t>(9) Refer to Table 3.16.</t>
  </si>
  <si>
    <t>(10) Refer to Table 3.18.</t>
  </si>
  <si>
    <t>(12)</t>
  </si>
  <si>
    <t>(13)</t>
  </si>
  <si>
    <t>(14)</t>
  </si>
  <si>
    <t>(15)</t>
  </si>
  <si>
    <t>(16)</t>
  </si>
  <si>
    <t>Delivery Unit Hand Forwarded (1)</t>
  </si>
  <si>
    <t>CFS Unit COA Mail Forwarded (2)</t>
  </si>
  <si>
    <t>(1) Mail being hand forwarded from the delivery unit.</t>
  </si>
  <si>
    <t>(2) Mail directly sent to CFS unit which is then forwarded.</t>
  </si>
  <si>
    <t>(4) Refer to Table 3.15.</t>
  </si>
  <si>
    <t>(5) Refer to Table 3.18.</t>
  </si>
  <si>
    <t>(7) Refer to Table 3.20.</t>
  </si>
  <si>
    <t>(9) Refer to Table 3.35.</t>
  </si>
  <si>
    <t>(1) Refer to Table 3.6.</t>
  </si>
  <si>
    <t>(2) Refer to Table 3.7.</t>
  </si>
  <si>
    <t>Plant-Intercepted COA Mail RTS (2)</t>
  </si>
  <si>
    <t>Carrier-Identified COA Mail RTS (3)</t>
  </si>
  <si>
    <t>Carrier-Identified Nixie Mail RTS (4)</t>
  </si>
  <si>
    <t>Plant-Intercepted ACS Nixie Mail RTS (5)</t>
  </si>
  <si>
    <t>Carrier-Identified ACS Nixie Mail RTS (6)</t>
  </si>
  <si>
    <t>Downstream Activities (7)</t>
  </si>
  <si>
    <t>(3) COA mail that is identified by carriers at the original delivery unit as being RTS.</t>
  </si>
  <si>
    <t>(4) Nixie mail that is identified by carriers at the original delivery unit as being RTS.</t>
  </si>
  <si>
    <t>(7) Activities that occur after mail has been redirected.</t>
  </si>
  <si>
    <t>(8) Refer to Table 3.24.</t>
  </si>
  <si>
    <t>(7) Refer to Table 3.21 after subtracting out carrier-identified forwarded mail.</t>
  </si>
  <si>
    <t>(11) Refer to Table 3.21 after subtracting out plant-intercepted forwarded mail.</t>
  </si>
  <si>
    <t>(11) Refer to Table 3.18.</t>
  </si>
  <si>
    <t>(12) Refer to Table 3.26.</t>
  </si>
  <si>
    <t>(11) Refer to Table 3.21.</t>
  </si>
  <si>
    <t>(14) Refer to Table 3.21.</t>
  </si>
  <si>
    <t>(15) Refer to Table 3.16.</t>
  </si>
  <si>
    <t>(17)</t>
  </si>
  <si>
    <t>(18)</t>
  </si>
  <si>
    <t>(19)</t>
  </si>
  <si>
    <t>(20)</t>
  </si>
  <si>
    <t>(21)</t>
  </si>
  <si>
    <t>(22)</t>
  </si>
  <si>
    <t>(23)</t>
  </si>
  <si>
    <t>(24)</t>
  </si>
  <si>
    <t>Delivery Unit RTS (1)</t>
  </si>
  <si>
    <t>CFS Unit COA Mail RTS (2)</t>
  </si>
  <si>
    <t>CFS Unit ACS Nixie RTS (3)</t>
  </si>
  <si>
    <t>Downstream Activities (4)</t>
  </si>
  <si>
    <t>(1) Mail being returned from the delivery unit.</t>
  </si>
  <si>
    <t>(2) Mail directly sent to CFS unit which is then returned to sender.</t>
  </si>
  <si>
    <t>(4) Activities that occur after mail has been redirected.</t>
  </si>
  <si>
    <t>(5) Refer to Table 3.15.</t>
  </si>
  <si>
    <t>(6) Refer to Table 3.18.</t>
  </si>
  <si>
    <t>(8) Refer to Table 3.20.</t>
  </si>
  <si>
    <t>(1) Refer to Table 3.9.</t>
  </si>
  <si>
    <t>(2) Refer to Table 3.10.</t>
  </si>
  <si>
    <t>Plant-Intercepted Non-Forwardable Waste (1)</t>
  </si>
  <si>
    <t>Plant-Intercepted COA Mail Waste (2)</t>
  </si>
  <si>
    <t>Carrier-Identified COA Mail Waste (3)</t>
  </si>
  <si>
    <t>Plant-Intercepted ACS Nixie Mail Waste (4)</t>
  </si>
  <si>
    <t>Carrier-Identified ACS Nixie Mail Waste (5)</t>
  </si>
  <si>
    <t>Table 3.19 - Summary of Cost of UAA at CFS Unit: Part 2 - CIOSS Reject Mail</t>
  </si>
  <si>
    <t>Table 3.19 - Summary of Cost of UAA at CFS Unit: Part 3 - All Mail</t>
  </si>
  <si>
    <t>(2) Refer to Table 3.20.</t>
  </si>
  <si>
    <t>Table 3.20 - Non-CIOSS Mail CFS Processing Costs: Part 2 - COA Mail Postage Due Activities</t>
  </si>
  <si>
    <t>Table 3.20 - Non-CIOSS Mail CFS Processing Costs: Part 3 - ACS Nixie Mail Activities</t>
  </si>
  <si>
    <t>Table 3.21 - CIOSS Reject Mail CFS Processing Costs: Part 2 - COA Mail Postage Due Activities</t>
  </si>
  <si>
    <t>Table 3.21- CIOSS Reject Mail CFS Processing Costs: Part 3 - ACS Nixie Mail Activities</t>
  </si>
  <si>
    <t>(1) Refer to Table 3.24.</t>
  </si>
  <si>
    <t>Moved, Non-Forwardable (6)</t>
  </si>
  <si>
    <t>(6) Unendorsed Standard Mail and BPM Mail associated with an active COA.  These pieces are not forwardable.</t>
  </si>
  <si>
    <t>(8) Mail with a bad address or other nixie reason that is identified by a carrier.</t>
  </si>
  <si>
    <t>(1) Refer to Table 3.26.</t>
  </si>
  <si>
    <t>(4) Unendorsed Standard Mail and BPM Mail associated with an active COA.  These pieces are not forwardable.</t>
  </si>
  <si>
    <t>Moved, Non-Forwardable (4)</t>
  </si>
  <si>
    <t>Moved, Non- Forwardable (4)</t>
  </si>
  <si>
    <t>(6) Mail with a bad address or other nixie reason that is identified by a carrier.</t>
  </si>
  <si>
    <t>(2)  Refer to Table 3.3.</t>
  </si>
  <si>
    <t>(5)  Refer to Table 3.6.</t>
  </si>
  <si>
    <t xml:space="preserve">      automated as part of the CIOSS label-generation process.</t>
  </si>
  <si>
    <t>Processing and Transport Unit Cost, Form 3547</t>
  </si>
  <si>
    <t>Processing and Transport Unit Cost, Form 3579</t>
  </si>
  <si>
    <t>(3) Refer to Table 3.12.</t>
  </si>
  <si>
    <t>(1) Pieces that are processed in the PARS system, including CIOSS rejects.</t>
  </si>
  <si>
    <t>(2) Pieces that are not processed in the PARS system.</t>
  </si>
  <si>
    <t>(5) ACS letter mail that is rejected from CIOSS machines is processed at the CFS unit.</t>
  </si>
  <si>
    <t>Table 3.15 - Cost of UAA at the Originating Delivery Unit Route, Non-PARS Pieces (Part 1)</t>
  </si>
  <si>
    <t>Table 3.26 - Detailed REC Site Processing Cost (1), Non-ACS Keying, Machinable Letters and COA Cards</t>
  </si>
  <si>
    <t>Table 3.27 - Detailed REC Site Processing Cost (1), ACS Keying, Machinable Letters and COA Cards</t>
  </si>
  <si>
    <r>
      <t xml:space="preserve">Non-ACS Keying Cost
</t>
    </r>
    <r>
      <rPr>
        <u/>
        <sz val="10"/>
        <rFont val="Arial"/>
        <family val="2"/>
      </rPr>
      <t>(000s) (1)</t>
    </r>
  </si>
  <si>
    <t>REC Site Finalization, ACS Pieces (17)</t>
  </si>
  <si>
    <t>REC Site Finalization, ACS Pieces (25)</t>
  </si>
  <si>
    <t>(5) Refer to Table 3.28.</t>
  </si>
  <si>
    <t>(12) Refer to Table 3.35.</t>
  </si>
  <si>
    <t>(13) Refer to Table 3.30.</t>
  </si>
  <si>
    <t>(14) Refer to Table 3.32.</t>
  </si>
  <si>
    <t>(15) Refer to Table 3.33.</t>
  </si>
  <si>
    <t>(16) Refer to Table 3.34.</t>
  </si>
  <si>
    <t>(8) Refer to Table 3.35.</t>
  </si>
  <si>
    <t>(9) Refer to Table 3.36.</t>
  </si>
  <si>
    <t>(10) Refer to Table 3.30.</t>
  </si>
  <si>
    <t>(11) Refer to Table 3.32.</t>
  </si>
  <si>
    <t>(12) Refer to Table 3.33.</t>
  </si>
  <si>
    <t>(13) Refer to Table 3.34.</t>
  </si>
  <si>
    <t>(9) Refer to Table 3.28.</t>
  </si>
  <si>
    <t>(20) Refer to Table 3.35.</t>
  </si>
  <si>
    <t>(21) Refer to Table 3.30.</t>
  </si>
  <si>
    <t>(22) Refer to Table 3.32.</t>
  </si>
  <si>
    <t>(23) Refer to Table 3.33.</t>
  </si>
  <si>
    <t>(24) Refer to Table 3.34.</t>
  </si>
  <si>
    <t>(7) Refer to Table 3.31.</t>
  </si>
  <si>
    <t>(7) Refer to Table 3.28.</t>
  </si>
  <si>
    <t>(3) Refer to Table 3.40.</t>
  </si>
  <si>
    <t>(1) Refer to Table 3.28.</t>
  </si>
  <si>
    <t>(3)  Refer to Table 3.29.</t>
  </si>
  <si>
    <t>(2) Refer to Table 3.32.</t>
  </si>
  <si>
    <t>(3) Refer to Table 3.33.</t>
  </si>
  <si>
    <t>(4) Refer to Table 3.34.</t>
  </si>
  <si>
    <t>(3) Based on the cost of forwarded letters, Table 3.29.</t>
  </si>
  <si>
    <t>(4) Refer to Table 3.38.</t>
  </si>
  <si>
    <t>(3) Refer to Table 3.37.</t>
  </si>
  <si>
    <t>(2) Refer to Table 3.37.</t>
  </si>
  <si>
    <t>(3) Refer to Table 3.42.</t>
  </si>
  <si>
    <t>Table 3.28 - Derivation of Volumes Processed at REC Site, Machinable UAA Letters and COA Cards</t>
  </si>
  <si>
    <t>Table 3.29 - Derivation of UAA Mail in Mail Processing and Transportation Unit Costs</t>
  </si>
  <si>
    <t>Table 3.30 - Cost of UAA Mail in Mail Processing and Transportation</t>
  </si>
  <si>
    <t>Table 3.31 - Cost of Rating Postage Due Mail at the Originating Nixie Unit</t>
  </si>
  <si>
    <t>Table 3.32 - Accountable Mail Unit, Cost of Processing UAA Postage Due Mail</t>
  </si>
  <si>
    <t>Table 3.33 - Carrier Cost for Delivering UAA Postage Due Mail</t>
  </si>
  <si>
    <t>Table 3.34 - Cost of Collecting Postage Due on UAA Mail at the Window</t>
  </si>
  <si>
    <t>Table 3.35 - Postage Due Volume Flows, PARS and Non-PARS Pieces</t>
  </si>
  <si>
    <t>Table 3.36 - Cost of Processing Form 3546</t>
  </si>
  <si>
    <t xml:space="preserve">Table 3.37 - Address Correction Service Inputs </t>
  </si>
  <si>
    <t>Table 3.40 - Mail Processing Costs for Forms</t>
  </si>
  <si>
    <t>Table 3.41 - Address Correction Service, Manual Notice Unit Cost</t>
  </si>
  <si>
    <t>Table 3.42 - Summary of Volume Flows (000)</t>
  </si>
  <si>
    <t>(1) Based on unit cost proxies from Table 3.29.</t>
  </si>
  <si>
    <t>Table 3.38 - Distribution of Form 3547 by Notification Method and Location</t>
  </si>
  <si>
    <t>Forms Based on Letters</t>
  </si>
  <si>
    <t>Previously Processed at CFS (3)</t>
  </si>
  <si>
    <t>Previously Processed at Nixie Unit (3)</t>
  </si>
  <si>
    <t>Total Forms Based on Letters</t>
  </si>
  <si>
    <t>Form 3547 Type</t>
  </si>
  <si>
    <t>Volume (000) (1)</t>
  </si>
  <si>
    <t>Volume (000) (2)</t>
  </si>
  <si>
    <t>Forms Based on Non-Letters</t>
  </si>
  <si>
    <t>Processed at CFS Unit</t>
  </si>
  <si>
    <t>Processed at Nixie Unit</t>
  </si>
  <si>
    <t>Total Forms Based on Non-Letters</t>
  </si>
  <si>
    <t>Forms Previously Processed or</t>
  </si>
  <si>
    <t>Total Forms</t>
  </si>
  <si>
    <t>(3)  In a PARS environment, the pieces for these forms are identified on the CIOSS machine.</t>
  </si>
  <si>
    <t xml:space="preserve">      The forms themselves are generated at NCSC.</t>
  </si>
  <si>
    <t>Form 3547 Volume - CFS/CIOSS</t>
  </si>
  <si>
    <t>Form 3547 Volume - Nixie</t>
  </si>
  <si>
    <t>Form 3579 Volume - CFS</t>
  </si>
  <si>
    <t>Form 3579 Volume - Nixie</t>
  </si>
  <si>
    <t>Form 3547 - From CFS</t>
  </si>
  <si>
    <t>Form 3547 - From NCSC</t>
  </si>
  <si>
    <r>
      <t xml:space="preserve">Total Mailstream Processing </t>
    </r>
    <r>
      <rPr>
        <u/>
        <sz val="10"/>
        <rFont val="Arial"/>
        <family val="2"/>
      </rPr>
      <t>Cost per Mailpiece</t>
    </r>
  </si>
  <si>
    <t>Forms Generated at CIOSS/NCSC</t>
  </si>
  <si>
    <t>1. CIOSS/NCSC</t>
  </si>
  <si>
    <t>Forms Generated at CFS Units/Nixie Units</t>
  </si>
  <si>
    <t>2. Nixie Unit</t>
  </si>
  <si>
    <t>3. Mailstream</t>
  </si>
  <si>
    <t>4. Accountable Mail Clerk</t>
  </si>
  <si>
    <t>5. Carrier Delivery/Collection of Postage Due</t>
  </si>
  <si>
    <t>Total Form 3547 - CFS/Nixie ---&gt;</t>
  </si>
  <si>
    <t>1. CIOSS/NCSC &amp; CFS</t>
  </si>
  <si>
    <t>(6) Forms generated at CIOSS/NCSC are not consolidated into envelopes.</t>
  </si>
  <si>
    <t>(2) CIOSS/NCSC operations require no clerk work to generate address correction forms.</t>
  </si>
  <si>
    <t>(3) Refer to Table 3.40.  CIOSS/NCSC forms have a lower unit cost due to presorting.</t>
  </si>
  <si>
    <t>(9) Forms consolidated into envelopes.  Refer to Table 3.40 for factor.</t>
  </si>
  <si>
    <t>Table 3.11 - Cost of Form 3547: Part 2 - Forms Generated at CFS Units/Nixie Units</t>
  </si>
  <si>
    <t>Forms Generated at CFS Units and Nixie Units</t>
  </si>
  <si>
    <t>Total Form 3579</t>
  </si>
  <si>
    <t>(2) Refer to Table 3.40.</t>
  </si>
  <si>
    <t>(4) Refer to Table 3.39.</t>
  </si>
  <si>
    <t>(6) Forms consolidated into envelopes.  Refer to Table 3.40 for factor.</t>
  </si>
  <si>
    <t>Table 3.39 - Distribution of Form 3579 by Location</t>
  </si>
  <si>
    <t>Table 3.43 - Address Correction Service, Address Change Service (ACS) Electronic Notice Unit Cost Derivation</t>
  </si>
  <si>
    <t>Nixie Clerk Handling</t>
  </si>
  <si>
    <t>Electronic Notice Processing</t>
  </si>
  <si>
    <t>ACS COA Mail Activities at CIOSS/REC/CFS (10)</t>
  </si>
  <si>
    <t>ACS Nixie Mail Activities at CIOSS/REC/CFS (10)</t>
  </si>
  <si>
    <t>ACS Nixie Mail Activities at Nixie Unit (11)</t>
  </si>
  <si>
    <t>Manual Notice Processing (12)</t>
  </si>
  <si>
    <t>Table 3.44 - Address Correction Service, Address Change Service (ACS) Electronic Notice Unit Cost Derivation</t>
  </si>
  <si>
    <t>acs processing costs ---&gt;</t>
  </si>
  <si>
    <t>(1) Refer to Table 3.37.</t>
  </si>
  <si>
    <t>(4) Excludes activities associated with ACS nixie mail.</t>
  </si>
  <si>
    <t>(5) Excludes keying of Address Change Service (ACS) participant and keyline codes.</t>
  </si>
  <si>
    <t>Plant-Intercepted Old COA RTS (1)</t>
  </si>
  <si>
    <t>(1) Old COA mail (COA age 13-18 months) that is intercepted and returned.</t>
  </si>
  <si>
    <t>(17) Refer to Table 3.18 after subtracting out plant-intercepted old COA returned mail.</t>
  </si>
  <si>
    <t>CFS/CIOSS, Mail Process &amp; Trans</t>
  </si>
  <si>
    <t>Address Change Service (ACS) Nixie Mail Activities (3)</t>
  </si>
  <si>
    <t>Address Change Service (ACS) Nixie Mail Activities</t>
  </si>
  <si>
    <t>1. Mechanized Terminal (8)</t>
  </si>
  <si>
    <t xml:space="preserve">   g.  ACS Volume (7)</t>
  </si>
  <si>
    <t xml:space="preserve">   h.  Non-ACS Volume (7)</t>
  </si>
  <si>
    <t>PARS Environment, FY 25</t>
  </si>
  <si>
    <t>(1) Based on FY 25 piggyback factors.</t>
  </si>
  <si>
    <t>(7) Refer to PARS 25 Baseline Cost Model, CFS Module.</t>
  </si>
  <si>
    <t>(8) Refer to PARS 25 Baseline Cost Model, Nixie Module.</t>
  </si>
  <si>
    <t>(4) Refer to PARS 25 Baseline Cost Model, Postage Due Module.</t>
  </si>
  <si>
    <t>(3) Refer to PARS 25 Baseline Cost Model, Postage Due Module.</t>
  </si>
  <si>
    <t>(5) Refer to PARS 25 Baseline Cost Model, CFS Module.</t>
  </si>
  <si>
    <t>(7) Refer to PARS 25 Baseline Cost Model, Nixie Module.</t>
  </si>
  <si>
    <t>(2) Based on FY 25 piggyback factors.</t>
  </si>
  <si>
    <t>(1) Refer to PARS 25 Baseline Cost Model, Route Module.</t>
  </si>
  <si>
    <t>(3) Based on FCS database 04 adjusted for PARS environment and FY 25 growth.  Refer to PARS 25 Baseline Cost Model, Route Module.</t>
  </si>
  <si>
    <t>(3) Refer to PARS 25 Baseline Cost Model, Route Module and CFS Module.</t>
  </si>
  <si>
    <t>(4) Refer to PARS 25 Baseline Cost Model, Mail Processing and Transportation Module.</t>
  </si>
  <si>
    <t>(1) Refer to PARS 25 Baseline Cost Model, Nixie Module.</t>
  </si>
  <si>
    <t>(3) Includes keying, loading, &amp; sweeping.  Refer to PARS 25 Baseline Cost Model, CFS Module.</t>
  </si>
  <si>
    <t>(1) Refer to PARS 25 Baseline Cost Model, CFS Module.</t>
  </si>
  <si>
    <t>(1) Refer to PARS 25 Baseline CFS Module.</t>
  </si>
  <si>
    <t>(1) Refer to FCS Database 04, USPS-LR-L-61.</t>
  </si>
  <si>
    <t>(2) Based on Delivery Unit Route Survey, USPS-LR-L-61.</t>
  </si>
  <si>
    <t>(3) Wrong extract code entered; piece rekeyed.  From CFS Unit Rekey Survey, USPS-LR-L-61.</t>
  </si>
  <si>
    <t>(4) Two or more labels generated for one piece.  From CFS Unit Rekey Survey, USPS-LR-L-61.</t>
  </si>
  <si>
    <t>(3) Based on FY 25 piggyback factors.</t>
  </si>
  <si>
    <t>(2) Refer to PARS 25 Baseline Cost Model, CIOSS Module.</t>
  </si>
  <si>
    <t>(2) Refer to PARS 25 Baseline Cost Model, REC Module.</t>
  </si>
  <si>
    <t>(1) Refer to PARS 25 Baseline Cost Model, REC Module.  CIOSS rejects excluded.</t>
  </si>
  <si>
    <t>(3) Based on CRA FY 25 C/S 14 First-Class Mail transportation (all shapes), USPS-LR-L-7.</t>
  </si>
  <si>
    <t>(1) Refer to PARS 25 Baseline Cost Model, Postage Due Module.</t>
  </si>
  <si>
    <t>(1) Refer to PARS 25 Baseline Cost Model, CIOSS Module.</t>
  </si>
  <si>
    <t>(2) Refer to PARS 25 Baseline Cost Model, Postage Due Module.</t>
  </si>
  <si>
    <t>(7) Based on FY 25 labor rates.</t>
  </si>
  <si>
    <t>(1) Developed from CFS Unit 3547 Batching Survey, USPS-LR-L-61.</t>
  </si>
  <si>
    <t>(5) Based on Delivery Unit Route Survey, USPS-LR-L-61, adjusted for TY 08 volume growth.</t>
  </si>
  <si>
    <t>(6) Based on Delivery Unit Nixie Survey, USPS-LR-L-61, adjusted for TY 08 volume growth.</t>
  </si>
  <si>
    <t>(2) Refer to the PARS 25 Baseline Cost Model, Route Module.</t>
  </si>
  <si>
    <t>(4)  Refer to PARS 25 Baseline Cost Model, Mail Processing and Transportation Module.</t>
  </si>
  <si>
    <t>FY  25</t>
  </si>
  <si>
    <t>(3) ACS stands for "Address Change Service," the electronic notice address correction system.</t>
  </si>
  <si>
    <t>Non-ACS (3)</t>
  </si>
  <si>
    <t>ACS COA (3)</t>
  </si>
  <si>
    <t>ACS Nixie (3)</t>
  </si>
  <si>
    <t>(1) Refer to PARS 08 Baseline Cost Model, Mail Processing and Transportation Module, Appendix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</si>
</sst>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quot;$&quot;#,##0_);[Red]\(&quot;$&quot;#,##0\)"/>
    <numFmt numFmtId="164" formatCode="&quot;$&quot;#,##0.0000"/>
    <numFmt numFmtId="165" formatCode="&quot;$&quot;#,##0"/>
    <numFmt numFmtId="166" formatCode="0.000000"/>
    <numFmt numFmtId="167" formatCode="&quot;$&quot;#,##0.000000"/>
    <numFmt numFmtId="168" formatCode="0.0000"/>
    <numFmt numFmtId="169" formatCode="0.000"/>
    <numFmt numFmtId="170" formatCode="&quot;$&quot;#,##0.00000"/>
    <numFmt numFmtId="171" formatCode="&quot;$&quot;#,##0.000"/>
    <numFmt numFmtId="172" formatCode="&quot;$&quot;#,##0.00"/>
    <numFmt numFmtId="173" formatCode="#,##0.0"/>
    <numFmt numFmtId="174" formatCode="#,##0.000"/>
    <numFmt numFmtId="175" formatCode="0.0%"/>
    <numFmt numFmtId="176" formatCode="#,##0.0000"/>
    <numFmt numFmtId="177" formatCode="#,##0.00000"/>
    <numFmt numFmtId="178" formatCode="&quot;$&quot;#,##0.0;\(&quot;$&quot;#,##0.0\)"/>
    <numFmt numFmtId="179" formatCode="#,##0.0000000"/>
    <numFmt numFmtId="180" formatCode="#,##0.00000000"/>
    <numFmt numFmtId="181" formatCode="#,##0.000000000"/>
    <numFmt numFmtId="182" formatCode="#,##0.0000000000"/>
    <numFmt numFmtId="183" formatCode="&quot;$&quot;#,##0.0000000"/>
    <numFmt numFmtId="184" formatCode="0.000%"/>
    <numFmt numFmtId="185" formatCode="0.000000%"/>
  </numFmts>
  <fonts count="15">
    <font>
      <sz val="10"/>
      <name val="Arial"/>
    </font>
    <font>
      <sz val="10"/>
      <name val="Arial"/>
      <family val="2"/>
    </font>
    <font>
      <sz val="10"/>
      <name val="Arial"/>
      <family val="2"/>
    </font>
    <font>
      <u/>
      <sz val="10"/>
      <name val="Arial"/>
      <family val="2"/>
    </font>
    <font>
      <b/>
      <sz val="10"/>
      <name val="Arial"/>
      <family val="2"/>
    </font>
    <font>
      <sz val="8"/>
      <name val="Arial"/>
      <family val="2"/>
    </font>
    <font>
      <u/>
      <sz val="10"/>
      <name val="Arial"/>
      <family val="2"/>
    </font>
    <font>
      <sz val="12"/>
      <name val="Helv"/>
    </font>
    <font>
      <sz val="10"/>
      <color indexed="12"/>
      <name val="Arial"/>
      <family val="2"/>
    </font>
    <font>
      <u/>
      <sz val="7.5"/>
      <name val="Arial"/>
      <family val="2"/>
    </font>
    <font>
      <b/>
      <u/>
      <sz val="10"/>
      <name val="Arial"/>
      <family val="2"/>
    </font>
    <font>
      <b/>
      <sz val="12"/>
      <name val="Arial"/>
      <family val="2"/>
    </font>
    <font>
      <b/>
      <sz val="14"/>
      <name val="Arial"/>
      <family val="2"/>
    </font>
    <font>
      <sz val="8"/>
      <color indexed="81"/>
      <name val="Tahoma"/>
      <family val="2"/>
    </font>
    <font>
      <b/>
      <sz val="8"/>
      <color indexed="81"/>
      <name val="Tahoma"/>
      <family val="2"/>
    </font>
  </fonts>
  <fills count="4">
    <fill>
      <patternFill patternType="none"/>
    </fill>
    <fill>
      <patternFill patternType="gray125"/>
    </fill>
    <fill>
      <patternFill patternType="solid">
        <fgColor indexed="42"/>
        <bgColor indexed="64"/>
      </patternFill>
    </fill>
    <fill>
      <patternFill patternType="solid">
        <fgColor indexed="22"/>
        <bgColor indexed="64"/>
      </patternFill>
    </fill>
  </fills>
  <borders count="42">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7" fillId="0" borderId="1" applyBorder="0"/>
    <xf numFmtId="180" fontId="1" fillId="0" borderId="0" applyFont="0" applyFill="0" applyBorder="0" applyAlignment="0" applyProtection="0"/>
    <xf numFmtId="182" fontId="1" fillId="0" borderId="0" applyFont="0" applyFill="0" applyBorder="0" applyAlignment="0" applyProtection="0"/>
    <xf numFmtId="179" fontId="1" fillId="0" borderId="0" applyFont="0" applyFill="0" applyBorder="0" applyAlignment="0" applyProtection="0"/>
    <xf numFmtId="181" fontId="1" fillId="0" borderId="0" applyFont="0" applyFill="0" applyBorder="0" applyAlignment="0" applyProtection="0"/>
    <xf numFmtId="178" fontId="1" fillId="0" borderId="0"/>
    <xf numFmtId="9" fontId="1" fillId="0" borderId="0" applyFont="0" applyFill="0" applyBorder="0" applyAlignment="0" applyProtection="0"/>
  </cellStyleXfs>
  <cellXfs count="429">
    <xf numFmtId="0" fontId="0" fillId="0" borderId="0" xfId="0"/>
    <xf numFmtId="0" fontId="2" fillId="0" borderId="0" xfId="0" applyFont="1" applyAlignment="1">
      <alignment horizontal="centerContinuous"/>
    </xf>
    <xf numFmtId="0" fontId="2" fillId="0" borderId="0" xfId="0" applyFont="1" applyAlignment="1">
      <alignment horizontal="left"/>
    </xf>
    <xf numFmtId="164" fontId="2" fillId="0" borderId="0" xfId="0" applyNumberFormat="1" applyFont="1" applyAlignment="1">
      <alignment horizontal="center" wrapText="1"/>
    </xf>
    <xf numFmtId="0" fontId="2" fillId="0" borderId="0" xfId="0" applyFont="1"/>
    <xf numFmtId="0" fontId="4" fillId="0" borderId="0" xfId="0" applyFont="1"/>
    <xf numFmtId="3" fontId="0" fillId="0" borderId="0" xfId="0" applyNumberFormat="1"/>
    <xf numFmtId="3" fontId="2" fillId="0" borderId="0" xfId="0" applyNumberFormat="1" applyFont="1" applyAlignment="1">
      <alignment wrapText="1"/>
    </xf>
    <xf numFmtId="164" fontId="3" fillId="0" borderId="0" xfId="0" applyNumberFormat="1" applyFont="1" applyAlignment="1">
      <alignment horizontal="center" wrapText="1"/>
    </xf>
    <xf numFmtId="164" fontId="2" fillId="0" borderId="0" xfId="0" quotePrefix="1" applyNumberFormat="1" applyFont="1" applyAlignment="1">
      <alignment horizontal="center" wrapText="1"/>
    </xf>
    <xf numFmtId="3" fontId="0" fillId="0" borderId="1" xfId="0" applyNumberFormat="1" applyBorder="1"/>
    <xf numFmtId="0" fontId="0" fillId="0" borderId="0" xfId="0" quotePrefix="1" applyAlignment="1">
      <alignment horizontal="left"/>
    </xf>
    <xf numFmtId="0" fontId="0" fillId="0" borderId="0" xfId="0" applyAlignment="1">
      <alignment horizontal="left"/>
    </xf>
    <xf numFmtId="0" fontId="0" fillId="0" borderId="0" xfId="0" applyAlignment="1">
      <alignment horizontal="right"/>
    </xf>
    <xf numFmtId="0" fontId="4" fillId="0" borderId="0" xfId="0" quotePrefix="1" applyFont="1" applyAlignment="1">
      <alignment horizontal="left"/>
    </xf>
    <xf numFmtId="0" fontId="4" fillId="0" borderId="0" xfId="0" applyFont="1" applyAlignment="1">
      <alignment horizontal="centerContinuous"/>
    </xf>
    <xf numFmtId="0" fontId="4" fillId="0" borderId="0" xfId="0" applyFont="1" applyAlignment="1">
      <alignment horizontal="left"/>
    </xf>
    <xf numFmtId="0" fontId="2" fillId="0" borderId="0" xfId="0" quotePrefix="1" applyFont="1" applyAlignment="1">
      <alignment horizontal="left"/>
    </xf>
    <xf numFmtId="0" fontId="2" fillId="0" borderId="0" xfId="0" applyFont="1" applyAlignment="1">
      <alignment horizontal="left" indent="1"/>
    </xf>
    <xf numFmtId="171" fontId="0" fillId="0" borderId="0" xfId="0" applyNumberFormat="1"/>
    <xf numFmtId="0" fontId="2" fillId="0" borderId="0" xfId="0" applyFont="1" applyAlignment="1">
      <alignment horizontal="right"/>
    </xf>
    <xf numFmtId="2" fontId="0" fillId="0" borderId="0" xfId="0" applyNumberFormat="1" applyAlignment="1">
      <alignment horizontal="right"/>
    </xf>
    <xf numFmtId="0" fontId="0" fillId="0" borderId="0" xfId="0" quotePrefix="1" applyAlignment="1">
      <alignment horizontal="left" indent="1"/>
    </xf>
    <xf numFmtId="10" fontId="0" fillId="0" borderId="0" xfId="0" applyNumberFormat="1"/>
    <xf numFmtId="3" fontId="2" fillId="0" borderId="0" xfId="0" applyNumberFormat="1" applyFont="1"/>
    <xf numFmtId="172" fontId="0" fillId="0" borderId="0" xfId="0" applyNumberFormat="1"/>
    <xf numFmtId="0" fontId="4" fillId="0" borderId="0" xfId="0" applyFont="1" applyAlignment="1">
      <alignment horizontal="center"/>
    </xf>
    <xf numFmtId="164" fontId="0" fillId="0" borderId="0" xfId="0" applyNumberFormat="1"/>
    <xf numFmtId="164" fontId="2" fillId="0" borderId="0" xfId="0" applyNumberFormat="1" applyFont="1"/>
    <xf numFmtId="165" fontId="2" fillId="0" borderId="0" xfId="0" applyNumberFormat="1" applyFont="1"/>
    <xf numFmtId="3" fontId="2" fillId="0" borderId="0" xfId="0" applyNumberFormat="1" applyFont="1" applyAlignment="1">
      <alignment horizontal="right" wrapText="1"/>
    </xf>
    <xf numFmtId="164" fontId="2" fillId="0" borderId="0" xfId="0" applyNumberFormat="1" applyFont="1" applyAlignment="1">
      <alignment horizontal="right" wrapText="1"/>
    </xf>
    <xf numFmtId="165" fontId="2" fillId="0" borderId="0" xfId="0" applyNumberFormat="1" applyFont="1" applyAlignment="1">
      <alignment horizontal="right" wrapText="1"/>
    </xf>
    <xf numFmtId="0" fontId="2" fillId="0" borderId="0" xfId="0" applyFont="1" applyAlignment="1">
      <alignment horizontal="left" wrapText="1"/>
    </xf>
    <xf numFmtId="3" fontId="2" fillId="0" borderId="0" xfId="0" applyNumberFormat="1" applyFont="1" applyAlignment="1">
      <alignment horizontal="right"/>
    </xf>
    <xf numFmtId="164" fontId="2" fillId="0" borderId="0" xfId="0" applyNumberFormat="1" applyFont="1" applyAlignment="1">
      <alignment horizontal="right"/>
    </xf>
    <xf numFmtId="165" fontId="2" fillId="0" borderId="0" xfId="0" applyNumberFormat="1" applyFont="1" applyAlignment="1">
      <alignment horizontal="right"/>
    </xf>
    <xf numFmtId="2" fontId="2" fillId="0" borderId="0" xfId="0" applyNumberFormat="1" applyFont="1"/>
    <xf numFmtId="0" fontId="2" fillId="0" borderId="0" xfId="0" applyFont="1" applyAlignment="1">
      <alignment horizontal="center"/>
    </xf>
    <xf numFmtId="175" fontId="2" fillId="0" borderId="0" xfId="0" applyNumberFormat="1" applyFont="1" applyAlignment="1">
      <alignment horizontal="right" wrapText="1"/>
    </xf>
    <xf numFmtId="175" fontId="2" fillId="0" borderId="0" xfId="0" applyNumberFormat="1" applyFont="1" applyAlignment="1">
      <alignment horizontal="right"/>
    </xf>
    <xf numFmtId="168" fontId="2" fillId="0" borderId="0" xfId="0" applyNumberFormat="1" applyFont="1" applyAlignment="1">
      <alignment horizontal="right" wrapText="1"/>
    </xf>
    <xf numFmtId="168" fontId="2" fillId="0" borderId="0" xfId="0" applyNumberFormat="1" applyFont="1" applyAlignment="1">
      <alignment horizontal="right"/>
    </xf>
    <xf numFmtId="0" fontId="2" fillId="0" borderId="0" xfId="0" applyFont="1" applyAlignment="1">
      <alignment wrapText="1"/>
    </xf>
    <xf numFmtId="168" fontId="2" fillId="0" borderId="0" xfId="0" applyNumberFormat="1" applyFont="1" applyAlignment="1">
      <alignment horizontal="centerContinuous"/>
    </xf>
    <xf numFmtId="172" fontId="2" fillId="0" borderId="0" xfId="0" applyNumberFormat="1" applyFont="1" applyAlignment="1">
      <alignment horizontal="centerContinuous"/>
    </xf>
    <xf numFmtId="164" fontId="2" fillId="0" borderId="0" xfId="0" applyNumberFormat="1" applyFont="1" applyAlignment="1">
      <alignment horizontal="centerContinuous"/>
    </xf>
    <xf numFmtId="168" fontId="2" fillId="0" borderId="0" xfId="0" applyNumberFormat="1" applyFont="1"/>
    <xf numFmtId="172" fontId="2" fillId="0" borderId="0" xfId="0" applyNumberFormat="1" applyFont="1"/>
    <xf numFmtId="175" fontId="2" fillId="0" borderId="0" xfId="0" applyNumberFormat="1" applyFont="1" applyAlignment="1">
      <alignment horizontal="left" wrapText="1"/>
    </xf>
    <xf numFmtId="168" fontId="8" fillId="0" borderId="0" xfId="0" applyNumberFormat="1" applyFont="1"/>
    <xf numFmtId="165" fontId="8" fillId="0" borderId="0" xfId="0" applyNumberFormat="1" applyFont="1"/>
    <xf numFmtId="164" fontId="8" fillId="0" borderId="0" xfId="0" applyNumberFormat="1" applyFont="1"/>
    <xf numFmtId="2" fontId="2" fillId="0" borderId="0" xfId="0" applyNumberFormat="1" applyFont="1" applyAlignment="1">
      <alignment horizontal="centerContinuous"/>
    </xf>
    <xf numFmtId="10" fontId="2" fillId="0" borderId="0" xfId="0" applyNumberFormat="1" applyFont="1" applyAlignment="1">
      <alignment horizontal="center" wrapText="1"/>
    </xf>
    <xf numFmtId="10" fontId="2" fillId="0" borderId="0" xfId="0" applyNumberFormat="1" applyFont="1" applyAlignment="1">
      <alignment horizontal="right" wrapText="1"/>
    </xf>
    <xf numFmtId="10" fontId="2" fillId="0" borderId="0" xfId="0" applyNumberFormat="1" applyFont="1" applyAlignment="1">
      <alignment horizontal="right"/>
    </xf>
    <xf numFmtId="10" fontId="2" fillId="0" borderId="0" xfId="0" applyNumberFormat="1" applyFont="1"/>
    <xf numFmtId="175" fontId="2" fillId="0" borderId="0" xfId="0" applyNumberFormat="1" applyFont="1"/>
    <xf numFmtId="0" fontId="2" fillId="0" borderId="0" xfId="0" applyFont="1" applyAlignment="1">
      <alignment horizontal="left" indent="2"/>
    </xf>
    <xf numFmtId="0" fontId="2" fillId="0" borderId="0" xfId="0" quotePrefix="1" applyFont="1" applyAlignment="1">
      <alignment horizontal="left" indent="2"/>
    </xf>
    <xf numFmtId="171" fontId="2" fillId="0" borderId="0" xfId="0" applyNumberFormat="1" applyFont="1" applyAlignment="1">
      <alignment horizontal="right" wrapText="1"/>
    </xf>
    <xf numFmtId="170" fontId="2" fillId="0" borderId="0" xfId="0" applyNumberFormat="1" applyFont="1"/>
    <xf numFmtId="171" fontId="2" fillId="0" borderId="0" xfId="0" applyNumberFormat="1" applyFont="1" applyAlignment="1">
      <alignment horizontal="right"/>
    </xf>
    <xf numFmtId="171" fontId="2" fillId="0" borderId="0" xfId="0" applyNumberFormat="1" applyFont="1"/>
    <xf numFmtId="10" fontId="2" fillId="0" borderId="0" xfId="0" quotePrefix="1" applyNumberFormat="1" applyFont="1" applyAlignment="1">
      <alignment horizontal="center" wrapText="1"/>
    </xf>
    <xf numFmtId="0" fontId="2" fillId="0" borderId="0" xfId="0" quotePrefix="1" applyFont="1" applyAlignment="1">
      <alignment horizontal="left" indent="1"/>
    </xf>
    <xf numFmtId="2" fontId="2" fillId="0" borderId="0" xfId="0" applyNumberFormat="1" applyFont="1" applyAlignment="1">
      <alignment horizontal="left"/>
    </xf>
    <xf numFmtId="168" fontId="2" fillId="0" borderId="0" xfId="0" applyNumberFormat="1" applyFont="1" applyAlignment="1">
      <alignment horizontal="left"/>
    </xf>
    <xf numFmtId="172" fontId="2" fillId="0" borderId="0" xfId="0" applyNumberFormat="1" applyFont="1" applyAlignment="1">
      <alignment horizontal="left"/>
    </xf>
    <xf numFmtId="164" fontId="2" fillId="0" borderId="0" xfId="0" applyNumberFormat="1" applyFont="1" applyAlignment="1">
      <alignment horizontal="left"/>
    </xf>
    <xf numFmtId="0" fontId="0" fillId="0" borderId="0" xfId="0" quotePrefix="1" applyAlignment="1">
      <alignment horizontal="left" wrapText="1" indent="1"/>
    </xf>
    <xf numFmtId="0" fontId="3" fillId="0" borderId="0" xfId="0" applyFont="1"/>
    <xf numFmtId="171" fontId="2" fillId="0" borderId="0" xfId="0" applyNumberFormat="1" applyFont="1" applyAlignment="1">
      <alignment horizontal="center"/>
    </xf>
    <xf numFmtId="175" fontId="2" fillId="0" borderId="0" xfId="0" applyNumberFormat="1" applyFont="1" applyAlignment="1">
      <alignment horizontal="center" wrapText="1"/>
    </xf>
    <xf numFmtId="3" fontId="0" fillId="0" borderId="0" xfId="0" applyNumberFormat="1" applyAlignment="1">
      <alignment horizontal="right"/>
    </xf>
    <xf numFmtId="0" fontId="10" fillId="0" borderId="0" xfId="0" applyFont="1" applyAlignment="1">
      <alignment horizontal="right"/>
    </xf>
    <xf numFmtId="0" fontId="0" fillId="0" borderId="0" xfId="0" applyAlignment="1">
      <alignment horizontal="centerContinuous"/>
    </xf>
    <xf numFmtId="0" fontId="10" fillId="0" borderId="0" xfId="0" applyFont="1" applyAlignment="1">
      <alignment horizontal="centerContinuous"/>
    </xf>
    <xf numFmtId="0" fontId="0" fillId="0" borderId="0" xfId="0" applyAlignment="1">
      <alignment horizontal="left" indent="1"/>
    </xf>
    <xf numFmtId="0" fontId="4" fillId="0" borderId="0" xfId="0" applyFont="1" applyAlignment="1">
      <alignment horizontal="left" indent="2"/>
    </xf>
    <xf numFmtId="165" fontId="0" fillId="0" borderId="0" xfId="0" applyNumberFormat="1"/>
    <xf numFmtId="0" fontId="0" fillId="0" borderId="0" xfId="0" quotePrefix="1" applyAlignment="1">
      <alignment horizontal="left" wrapText="1" indent="2"/>
    </xf>
    <xf numFmtId="172" fontId="0" fillId="0" borderId="0" xfId="0" applyNumberFormat="1" applyAlignment="1">
      <alignment horizontal="right"/>
    </xf>
    <xf numFmtId="164" fontId="0" fillId="0" borderId="2" xfId="0" quotePrefix="1" applyNumberFormat="1" applyBorder="1" applyAlignment="1">
      <alignment horizontal="center"/>
    </xf>
    <xf numFmtId="169" fontId="0" fillId="0" borderId="0" xfId="0" applyNumberFormat="1" applyAlignment="1">
      <alignment horizontal="right"/>
    </xf>
    <xf numFmtId="9" fontId="0" fillId="0" borderId="0" xfId="0" applyNumberFormat="1"/>
    <xf numFmtId="170" fontId="0" fillId="0" borderId="0" xfId="0" applyNumberFormat="1"/>
    <xf numFmtId="171" fontId="0" fillId="0" borderId="0" xfId="0" applyNumberFormat="1" applyAlignment="1">
      <alignment horizontal="right"/>
    </xf>
    <xf numFmtId="0" fontId="0" fillId="2" borderId="0" xfId="0" applyFill="1"/>
    <xf numFmtId="0" fontId="0" fillId="2" borderId="0" xfId="0" applyFill="1" applyAlignment="1">
      <alignment horizontal="right"/>
    </xf>
    <xf numFmtId="174" fontId="0" fillId="2" borderId="0" xfId="0" applyNumberFormat="1" applyFill="1"/>
    <xf numFmtId="0" fontId="2" fillId="2" borderId="0" xfId="0" applyFont="1" applyFill="1"/>
    <xf numFmtId="0" fontId="2" fillId="2" borderId="0" xfId="0" applyFont="1" applyFill="1" applyAlignment="1">
      <alignment horizontal="right"/>
    </xf>
    <xf numFmtId="176" fontId="2" fillId="2" borderId="0" xfId="0" applyNumberFormat="1" applyFont="1" applyFill="1"/>
    <xf numFmtId="3" fontId="2" fillId="2" borderId="0" xfId="0" applyNumberFormat="1" applyFont="1" applyFill="1"/>
    <xf numFmtId="164" fontId="2" fillId="2" borderId="0" xfId="0" applyNumberFormat="1" applyFont="1" applyFill="1"/>
    <xf numFmtId="0" fontId="4" fillId="0" borderId="0" xfId="0" quotePrefix="1" applyFont="1" applyAlignment="1">
      <alignment horizontal="right"/>
    </xf>
    <xf numFmtId="176" fontId="0" fillId="2" borderId="0" xfId="0" applyNumberFormat="1" applyFill="1"/>
    <xf numFmtId="176" fontId="0" fillId="0" borderId="0" xfId="0" applyNumberFormat="1"/>
    <xf numFmtId="164" fontId="2" fillId="0" borderId="0" xfId="0" quotePrefix="1" applyNumberFormat="1" applyFont="1" applyAlignment="1">
      <alignment horizontal="left"/>
    </xf>
    <xf numFmtId="3" fontId="0" fillId="2" borderId="0" xfId="0" applyNumberFormat="1" applyFill="1"/>
    <xf numFmtId="177" fontId="2" fillId="2" borderId="0" xfId="0" applyNumberFormat="1" applyFont="1" applyFill="1"/>
    <xf numFmtId="0" fontId="2" fillId="0" borderId="1" xfId="0" applyFont="1" applyBorder="1"/>
    <xf numFmtId="176" fontId="0" fillId="0" borderId="0" xfId="0" applyNumberFormat="1" applyAlignment="1">
      <alignment horizontal="right"/>
    </xf>
    <xf numFmtId="177" fontId="0" fillId="2" borderId="0" xfId="0" applyNumberFormat="1" applyFill="1"/>
    <xf numFmtId="0" fontId="2" fillId="0" borderId="1" xfId="0" quotePrefix="1" applyFont="1" applyBorder="1" applyAlignment="1">
      <alignment horizontal="left"/>
    </xf>
    <xf numFmtId="165" fontId="2" fillId="0" borderId="0" xfId="0" quotePrefix="1" applyNumberFormat="1" applyFont="1" applyAlignment="1">
      <alignment horizontal="right" wrapText="1"/>
    </xf>
    <xf numFmtId="165" fontId="0" fillId="0" borderId="0" xfId="0" applyNumberFormat="1" applyAlignment="1">
      <alignment horizontal="right"/>
    </xf>
    <xf numFmtId="0" fontId="4" fillId="0" borderId="3" xfId="0" applyFont="1" applyBorder="1" applyAlignment="1">
      <alignment horizontal="centerContinuous"/>
    </xf>
    <xf numFmtId="0" fontId="4" fillId="0" borderId="4" xfId="0" applyFont="1" applyBorder="1" applyAlignment="1">
      <alignment horizontal="centerContinuous"/>
    </xf>
    <xf numFmtId="0" fontId="4" fillId="0" borderId="5" xfId="0" applyFont="1" applyBorder="1" applyAlignment="1">
      <alignment horizontal="centerContinuous"/>
    </xf>
    <xf numFmtId="164" fontId="2" fillId="0" borderId="6" xfId="0" applyNumberFormat="1" applyFont="1" applyBorder="1" applyAlignment="1">
      <alignment horizontal="center"/>
    </xf>
    <xf numFmtId="171" fontId="0" fillId="0" borderId="2" xfId="0" applyNumberFormat="1" applyBorder="1"/>
    <xf numFmtId="171" fontId="2" fillId="0" borderId="2" xfId="0" applyNumberFormat="1" applyFont="1" applyBorder="1"/>
    <xf numFmtId="164" fontId="2" fillId="0" borderId="7" xfId="0" applyNumberFormat="1" applyFont="1" applyBorder="1" applyAlignment="1">
      <alignment horizontal="center"/>
    </xf>
    <xf numFmtId="0" fontId="2" fillId="0" borderId="1" xfId="0" applyFont="1" applyBorder="1" applyAlignment="1">
      <alignment horizontal="center"/>
    </xf>
    <xf numFmtId="0" fontId="11" fillId="0" borderId="0" xfId="0" quotePrefix="1" applyFont="1" applyAlignment="1">
      <alignment horizontal="left"/>
    </xf>
    <xf numFmtId="0" fontId="2" fillId="0" borderId="0" xfId="0" applyFont="1" applyAlignment="1">
      <alignment horizontal="right" wrapText="1"/>
    </xf>
    <xf numFmtId="0" fontId="2" fillId="0" borderId="0" xfId="0" quotePrefix="1" applyFont="1" applyAlignment="1">
      <alignment horizontal="right" wrapText="1"/>
    </xf>
    <xf numFmtId="0" fontId="3" fillId="0" borderId="0" xfId="0" applyFont="1" applyAlignment="1">
      <alignment horizontal="right" wrapText="1"/>
    </xf>
    <xf numFmtId="173" fontId="2" fillId="0" borderId="0" xfId="0" applyNumberFormat="1" applyFont="1"/>
    <xf numFmtId="10" fontId="2" fillId="0" borderId="0" xfId="7" applyNumberFormat="1" applyFont="1" applyBorder="1"/>
    <xf numFmtId="10" fontId="0" fillId="0" borderId="0" xfId="7" applyNumberFormat="1" applyFont="1"/>
    <xf numFmtId="0" fontId="12" fillId="0" borderId="0" xfId="0" applyFont="1" applyAlignment="1">
      <alignment horizontal="centerContinuous"/>
    </xf>
    <xf numFmtId="3" fontId="2" fillId="0" borderId="0" xfId="0" quotePrefix="1" applyNumberFormat="1" applyFont="1" applyAlignment="1">
      <alignment horizontal="right" wrapText="1"/>
    </xf>
    <xf numFmtId="164" fontId="3" fillId="0" borderId="0" xfId="0" quotePrefix="1" applyNumberFormat="1" applyFont="1" applyAlignment="1">
      <alignment horizontal="right" wrapText="1"/>
    </xf>
    <xf numFmtId="166" fontId="3" fillId="0" borderId="0" xfId="0" applyNumberFormat="1" applyFont="1" applyAlignment="1">
      <alignment horizontal="right" wrapText="1"/>
    </xf>
    <xf numFmtId="167" fontId="2" fillId="0" borderId="0" xfId="0" quotePrefix="1" applyNumberFormat="1" applyFont="1" applyAlignment="1">
      <alignment horizontal="right" wrapText="1"/>
    </xf>
    <xf numFmtId="171" fontId="2" fillId="0" borderId="1" xfId="0" applyNumberFormat="1" applyFont="1" applyBorder="1" applyAlignment="1">
      <alignment horizontal="right" wrapText="1"/>
    </xf>
    <xf numFmtId="171" fontId="4" fillId="0" borderId="0" xfId="0" applyNumberFormat="1" applyFont="1" applyAlignment="1">
      <alignment horizontal="right" wrapText="1"/>
    </xf>
    <xf numFmtId="165" fontId="2" fillId="0" borderId="1" xfId="0" applyNumberFormat="1" applyFont="1" applyBorder="1" applyAlignment="1">
      <alignment horizontal="right" wrapText="1"/>
    </xf>
    <xf numFmtId="164" fontId="2" fillId="0" borderId="0" xfId="0" quotePrefix="1" applyNumberFormat="1" applyFont="1" applyAlignment="1">
      <alignment horizontal="right" wrapText="1"/>
    </xf>
    <xf numFmtId="0" fontId="3" fillId="0" borderId="0" xfId="0" applyFont="1" applyAlignment="1">
      <alignment horizontal="right"/>
    </xf>
    <xf numFmtId="9" fontId="2" fillId="0" borderId="0" xfId="0" applyNumberFormat="1" applyFont="1" applyAlignment="1">
      <alignment horizontal="right"/>
    </xf>
    <xf numFmtId="0" fontId="3" fillId="0" borderId="0" xfId="0" quotePrefix="1" applyFont="1" applyAlignment="1">
      <alignment horizontal="right" wrapText="1"/>
    </xf>
    <xf numFmtId="172" fontId="2" fillId="0" borderId="0" xfId="0" applyNumberFormat="1" applyFont="1" applyAlignment="1">
      <alignment wrapText="1"/>
    </xf>
    <xf numFmtId="171" fontId="2" fillId="0" borderId="0" xfId="0" applyNumberFormat="1" applyFont="1" applyAlignment="1">
      <alignment wrapText="1"/>
    </xf>
    <xf numFmtId="168" fontId="2" fillId="0" borderId="0" xfId="0" quotePrefix="1" applyNumberFormat="1" applyFont="1" applyAlignment="1">
      <alignment horizontal="right" wrapText="1"/>
    </xf>
    <xf numFmtId="175" fontId="2" fillId="0" borderId="0" xfId="0" applyNumberFormat="1" applyFont="1" applyAlignment="1">
      <alignment wrapText="1"/>
    </xf>
    <xf numFmtId="165" fontId="2" fillId="0" borderId="0" xfId="0" applyNumberFormat="1" applyFont="1" applyAlignment="1">
      <alignment wrapText="1"/>
    </xf>
    <xf numFmtId="164" fontId="3" fillId="0" borderId="0" xfId="0" applyNumberFormat="1" applyFont="1" applyAlignment="1">
      <alignment horizontal="right" wrapText="1"/>
    </xf>
    <xf numFmtId="10" fontId="2" fillId="0" borderId="0" xfId="0" quotePrefix="1" applyNumberFormat="1" applyFont="1" applyAlignment="1">
      <alignment horizontal="right" wrapText="1"/>
    </xf>
    <xf numFmtId="3" fontId="6" fillId="0" borderId="0" xfId="0" applyNumberFormat="1" applyFont="1" applyAlignment="1">
      <alignment horizontal="right"/>
    </xf>
    <xf numFmtId="171" fontId="3" fillId="0" borderId="0" xfId="0" applyNumberFormat="1" applyFont="1" applyAlignment="1">
      <alignment horizontal="right" wrapText="1"/>
    </xf>
    <xf numFmtId="165" fontId="3" fillId="0" borderId="0" xfId="0" applyNumberFormat="1" applyFont="1" applyAlignment="1">
      <alignment horizontal="right" wrapText="1"/>
    </xf>
    <xf numFmtId="165" fontId="3" fillId="0" borderId="0" xfId="0" quotePrefix="1" applyNumberFormat="1" applyFont="1" applyAlignment="1">
      <alignment horizontal="right" wrapText="1"/>
    </xf>
    <xf numFmtId="175" fontId="0" fillId="0" borderId="0" xfId="7" applyNumberFormat="1" applyFont="1" applyAlignment="1">
      <alignment horizontal="right"/>
    </xf>
    <xf numFmtId="2" fontId="2" fillId="0" borderId="0" xfId="0" applyNumberFormat="1" applyFont="1" applyAlignment="1">
      <alignment horizontal="right"/>
    </xf>
    <xf numFmtId="2" fontId="10" fillId="0" borderId="0" xfId="0" applyNumberFormat="1" applyFont="1" applyAlignment="1">
      <alignment horizontal="right"/>
    </xf>
    <xf numFmtId="174" fontId="2" fillId="0" borderId="0" xfId="0" applyNumberFormat="1" applyFont="1" applyAlignment="1">
      <alignment horizontal="center"/>
    </xf>
    <xf numFmtId="3" fontId="0" fillId="0" borderId="0" xfId="0" applyNumberFormat="1" applyAlignment="1">
      <alignment horizontal="center"/>
    </xf>
    <xf numFmtId="0" fontId="0" fillId="0" borderId="0" xfId="0" quotePrefix="1" applyAlignment="1">
      <alignment horizontal="right" wrapText="1"/>
    </xf>
    <xf numFmtId="175" fontId="0" fillId="0" borderId="0" xfId="0" applyNumberFormat="1" applyAlignment="1">
      <alignment horizontal="right" wrapText="1"/>
    </xf>
    <xf numFmtId="175" fontId="0" fillId="0" borderId="0" xfId="0" applyNumberFormat="1" applyAlignment="1">
      <alignment horizontal="right"/>
    </xf>
    <xf numFmtId="10" fontId="3" fillId="0" borderId="0" xfId="0" quotePrefix="1" applyNumberFormat="1" applyFont="1" applyAlignment="1">
      <alignment horizontal="right"/>
    </xf>
    <xf numFmtId="0" fontId="2" fillId="0" borderId="8" xfId="0" quotePrefix="1" applyFont="1" applyBorder="1" applyAlignment="1">
      <alignment horizontal="right"/>
    </xf>
    <xf numFmtId="0" fontId="2" fillId="0" borderId="9" xfId="0" applyFont="1" applyBorder="1" applyAlignment="1">
      <alignment horizontal="right"/>
    </xf>
    <xf numFmtId="0" fontId="2" fillId="0" borderId="10" xfId="0" applyFont="1" applyBorder="1" applyAlignment="1">
      <alignment horizontal="right"/>
    </xf>
    <xf numFmtId="164" fontId="2" fillId="0" borderId="7" xfId="0" applyNumberFormat="1" applyFont="1" applyBorder="1" applyAlignment="1">
      <alignment horizontal="right"/>
    </xf>
    <xf numFmtId="164" fontId="2" fillId="0" borderId="6" xfId="0" quotePrefix="1" applyNumberFormat="1" applyFont="1" applyBorder="1" applyAlignment="1">
      <alignment horizontal="right"/>
    </xf>
    <xf numFmtId="174" fontId="0" fillId="0" borderId="0" xfId="0" applyNumberFormat="1"/>
    <xf numFmtId="2" fontId="2" fillId="0" borderId="0" xfId="0" applyNumberFormat="1" applyFont="1" applyAlignment="1">
      <alignment horizontal="center"/>
    </xf>
    <xf numFmtId="2" fontId="3" fillId="0" borderId="0" xfId="0" applyNumberFormat="1" applyFont="1" applyAlignment="1">
      <alignment horizontal="right"/>
    </xf>
    <xf numFmtId="2" fontId="10" fillId="0" borderId="0" xfId="0" applyNumberFormat="1" applyFont="1" applyAlignment="1">
      <alignment horizontal="centerContinuous"/>
    </xf>
    <xf numFmtId="2" fontId="0" fillId="0" borderId="0" xfId="0" applyNumberFormat="1" applyAlignment="1">
      <alignment horizontal="centerContinuous"/>
    </xf>
    <xf numFmtId="0" fontId="0" fillId="0" borderId="0" xfId="0" quotePrefix="1" applyAlignment="1">
      <alignment horizontal="left" indent="2"/>
    </xf>
    <xf numFmtId="177" fontId="0" fillId="0" borderId="0" xfId="0" applyNumberFormat="1"/>
    <xf numFmtId="176" fontId="2" fillId="0" borderId="0" xfId="0" applyNumberFormat="1" applyFont="1" applyAlignment="1">
      <alignment horizontal="right"/>
    </xf>
    <xf numFmtId="0" fontId="0" fillId="0" borderId="11" xfId="0" applyBorder="1" applyAlignment="1">
      <alignment horizontal="center"/>
    </xf>
    <xf numFmtId="0" fontId="0" fillId="0" borderId="9" xfId="0" applyBorder="1"/>
    <xf numFmtId="0" fontId="0" fillId="0" borderId="12" xfId="0" applyBorder="1" applyAlignment="1">
      <alignment horizontal="center"/>
    </xf>
    <xf numFmtId="0" fontId="0" fillId="0" borderId="8" xfId="0" applyBorder="1" applyAlignment="1">
      <alignment horizontal="center"/>
    </xf>
    <xf numFmtId="0" fontId="4" fillId="0" borderId="6" xfId="0" applyFont="1" applyBorder="1"/>
    <xf numFmtId="164" fontId="4" fillId="0" borderId="2" xfId="0" applyNumberFormat="1" applyFont="1" applyBorder="1" applyAlignment="1">
      <alignment horizontal="center"/>
    </xf>
    <xf numFmtId="0" fontId="4" fillId="0" borderId="13" xfId="0" applyFont="1" applyBorder="1" applyAlignment="1">
      <alignment horizontal="center"/>
    </xf>
    <xf numFmtId="0" fontId="4" fillId="0" borderId="2" xfId="0" applyFont="1" applyBorder="1"/>
    <xf numFmtId="164" fontId="0" fillId="0" borderId="2" xfId="0" applyNumberFormat="1" applyBorder="1"/>
    <xf numFmtId="164" fontId="0" fillId="0" borderId="2" xfId="0" applyNumberFormat="1" applyBorder="1" applyAlignment="1">
      <alignment horizontal="center"/>
    </xf>
    <xf numFmtId="0" fontId="0" fillId="0" borderId="13" xfId="0" applyBorder="1"/>
    <xf numFmtId="0" fontId="0" fillId="0" borderId="2" xfId="0" applyBorder="1"/>
    <xf numFmtId="0" fontId="4" fillId="0" borderId="12" xfId="0" applyFont="1" applyBorder="1"/>
    <xf numFmtId="9" fontId="0" fillId="0" borderId="2" xfId="0" applyNumberFormat="1" applyBorder="1" applyAlignment="1">
      <alignment horizontal="center"/>
    </xf>
    <xf numFmtId="171" fontId="0" fillId="0" borderId="13" xfId="0" applyNumberFormat="1" applyBorder="1"/>
    <xf numFmtId="0" fontId="2" fillId="0" borderId="2" xfId="0" applyFont="1" applyBorder="1"/>
    <xf numFmtId="172" fontId="0" fillId="0" borderId="13" xfId="0" applyNumberFormat="1" applyBorder="1"/>
    <xf numFmtId="10" fontId="0" fillId="0" borderId="2" xfId="0" applyNumberFormat="1" applyBorder="1" applyAlignment="1">
      <alignment horizontal="center"/>
    </xf>
    <xf numFmtId="171" fontId="2" fillId="0" borderId="13" xfId="0" applyNumberFormat="1" applyFont="1" applyBorder="1"/>
    <xf numFmtId="0" fontId="4" fillId="0" borderId="7" xfId="0" applyFont="1" applyBorder="1"/>
    <xf numFmtId="171" fontId="0" fillId="0" borderId="7" xfId="0" applyNumberFormat="1" applyBorder="1"/>
    <xf numFmtId="164" fontId="0" fillId="0" borderId="7" xfId="0" applyNumberFormat="1" applyBorder="1" applyAlignment="1">
      <alignment horizontal="center"/>
    </xf>
    <xf numFmtId="171" fontId="4" fillId="0" borderId="7" xfId="0" applyNumberFormat="1" applyFont="1" applyBorder="1"/>
    <xf numFmtId="0" fontId="0" fillId="0" borderId="6" xfId="0" applyBorder="1" applyAlignment="1">
      <alignment horizontal="center"/>
    </xf>
    <xf numFmtId="0" fontId="0" fillId="0" borderId="6" xfId="0" applyBorder="1"/>
    <xf numFmtId="171" fontId="0" fillId="0" borderId="6" xfId="0" applyNumberFormat="1" applyBorder="1"/>
    <xf numFmtId="9" fontId="0" fillId="0" borderId="2" xfId="0" applyNumberFormat="1" applyBorder="1"/>
    <xf numFmtId="0" fontId="0" fillId="0" borderId="7" xfId="0" applyBorder="1"/>
    <xf numFmtId="9" fontId="0" fillId="0" borderId="7" xfId="0" applyNumberFormat="1" applyBorder="1"/>
    <xf numFmtId="9" fontId="2" fillId="0" borderId="6" xfId="0" applyNumberFormat="1" applyFont="1" applyBorder="1" applyAlignment="1">
      <alignment horizontal="center"/>
    </xf>
    <xf numFmtId="171" fontId="2" fillId="0" borderId="6" xfId="0" quotePrefix="1" applyNumberFormat="1" applyFont="1" applyBorder="1" applyAlignment="1">
      <alignment horizontal="right"/>
    </xf>
    <xf numFmtId="9" fontId="2" fillId="0" borderId="7" xfId="0" applyNumberFormat="1" applyFont="1" applyBorder="1" applyAlignment="1">
      <alignment horizontal="center"/>
    </xf>
    <xf numFmtId="2" fontId="0" fillId="0" borderId="2" xfId="0" applyNumberFormat="1" applyBorder="1"/>
    <xf numFmtId="10" fontId="0" fillId="0" borderId="7" xfId="0" applyNumberFormat="1" applyBorder="1"/>
    <xf numFmtId="3" fontId="2" fillId="0" borderId="1" xfId="0" applyNumberFormat="1" applyFont="1" applyBorder="1"/>
    <xf numFmtId="0" fontId="0" fillId="0" borderId="1" xfId="0" applyBorder="1"/>
    <xf numFmtId="3" fontId="2" fillId="0" borderId="0" xfId="0" quotePrefix="1" applyNumberFormat="1" applyFont="1" applyAlignment="1">
      <alignment horizontal="left"/>
    </xf>
    <xf numFmtId="171" fontId="2" fillId="0" borderId="0" xfId="0" quotePrefix="1" applyNumberFormat="1" applyFont="1" applyAlignment="1">
      <alignment horizontal="left"/>
    </xf>
    <xf numFmtId="0" fontId="3" fillId="0" borderId="0" xfId="0" quotePrefix="1" applyFont="1" applyAlignment="1">
      <alignment horizontal="right"/>
    </xf>
    <xf numFmtId="10" fontId="2" fillId="0" borderId="0" xfId="0" quotePrefix="1" applyNumberFormat="1" applyFont="1" applyAlignment="1">
      <alignment horizontal="left"/>
    </xf>
    <xf numFmtId="164" fontId="2" fillId="0" borderId="1" xfId="0" applyNumberFormat="1" applyFont="1" applyBorder="1" applyAlignment="1">
      <alignment horizontal="right"/>
    </xf>
    <xf numFmtId="168" fontId="2" fillId="0" borderId="1" xfId="0" applyNumberFormat="1" applyFont="1" applyBorder="1"/>
    <xf numFmtId="165" fontId="2" fillId="0" borderId="1" xfId="0" applyNumberFormat="1" applyFont="1" applyBorder="1"/>
    <xf numFmtId="3" fontId="0" fillId="0" borderId="0" xfId="0" quotePrefix="1" applyNumberFormat="1" applyAlignment="1">
      <alignment horizontal="left"/>
    </xf>
    <xf numFmtId="164" fontId="2" fillId="0" borderId="1" xfId="0" applyNumberFormat="1" applyFont="1" applyBorder="1"/>
    <xf numFmtId="2" fontId="0" fillId="0" borderId="0" xfId="0" quotePrefix="1" applyNumberFormat="1" applyAlignment="1">
      <alignment horizontal="left"/>
    </xf>
    <xf numFmtId="168" fontId="2" fillId="0" borderId="1" xfId="0" quotePrefix="1" applyNumberFormat="1" applyFont="1" applyBorder="1" applyAlignment="1">
      <alignment horizontal="right"/>
    </xf>
    <xf numFmtId="176" fontId="2" fillId="0" borderId="1" xfId="0" applyNumberFormat="1" applyFont="1" applyBorder="1"/>
    <xf numFmtId="172" fontId="2" fillId="0" borderId="1" xfId="0" applyNumberFormat="1" applyFont="1" applyBorder="1"/>
    <xf numFmtId="2" fontId="2" fillId="0" borderId="1" xfId="0" applyNumberFormat="1" applyFont="1" applyBorder="1"/>
    <xf numFmtId="172" fontId="0" fillId="0" borderId="0" xfId="0" quotePrefix="1" applyNumberFormat="1" applyAlignment="1">
      <alignment horizontal="left"/>
    </xf>
    <xf numFmtId="2" fontId="2" fillId="0" borderId="0" xfId="0" quotePrefix="1" applyNumberFormat="1" applyFont="1" applyAlignment="1">
      <alignment horizontal="left"/>
    </xf>
    <xf numFmtId="10" fontId="2" fillId="0" borderId="0" xfId="7" quotePrefix="1" applyNumberFormat="1" applyFont="1" applyBorder="1" applyAlignment="1">
      <alignment horizontal="left"/>
    </xf>
    <xf numFmtId="171" fontId="0" fillId="0" borderId="0" xfId="0" quotePrefix="1" applyNumberFormat="1" applyAlignment="1">
      <alignment horizontal="left"/>
    </xf>
    <xf numFmtId="0" fontId="11" fillId="0" borderId="0" xfId="0" quotePrefix="1" applyFont="1" applyAlignment="1">
      <alignment horizontal="left" indent="8"/>
    </xf>
    <xf numFmtId="164" fontId="2" fillId="0" borderId="9" xfId="0" applyNumberFormat="1" applyFont="1" applyBorder="1" applyAlignment="1">
      <alignment horizontal="center"/>
    </xf>
    <xf numFmtId="164" fontId="2" fillId="0" borderId="10" xfId="0" applyNumberFormat="1" applyFont="1" applyBorder="1" applyAlignment="1">
      <alignment horizontal="center"/>
    </xf>
    <xf numFmtId="164" fontId="4" fillId="0" borderId="13" xfId="0" applyNumberFormat="1" applyFont="1" applyBorder="1" applyAlignment="1">
      <alignment horizontal="center"/>
    </xf>
    <xf numFmtId="164" fontId="0" fillId="0" borderId="13" xfId="0" applyNumberFormat="1" applyBorder="1" applyAlignment="1">
      <alignment horizontal="center"/>
    </xf>
    <xf numFmtId="164" fontId="0" fillId="0" borderId="13" xfId="0" quotePrefix="1" applyNumberFormat="1" applyBorder="1" applyAlignment="1">
      <alignment horizontal="center"/>
    </xf>
    <xf numFmtId="9" fontId="0" fillId="0" borderId="13" xfId="0" applyNumberFormat="1" applyBorder="1" applyAlignment="1">
      <alignment horizontal="center"/>
    </xf>
    <xf numFmtId="10" fontId="0" fillId="0" borderId="13" xfId="0" applyNumberFormat="1" applyBorder="1" applyAlignment="1">
      <alignment horizontal="center"/>
    </xf>
    <xf numFmtId="171" fontId="0" fillId="0" borderId="2" xfId="0" quotePrefix="1" applyNumberFormat="1" applyBorder="1" applyAlignment="1">
      <alignment horizontal="left"/>
    </xf>
    <xf numFmtId="9" fontId="0" fillId="0" borderId="13" xfId="0" quotePrefix="1" applyNumberFormat="1" applyBorder="1" applyAlignment="1">
      <alignment horizontal="left"/>
    </xf>
    <xf numFmtId="164" fontId="0" fillId="0" borderId="1" xfId="0" applyNumberFormat="1" applyBorder="1"/>
    <xf numFmtId="0" fontId="2" fillId="0" borderId="1" xfId="0" quotePrefix="1" applyFont="1" applyBorder="1" applyAlignment="1">
      <alignment horizontal="right"/>
    </xf>
    <xf numFmtId="0" fontId="0" fillId="0" borderId="2" xfId="0" quotePrefix="1" applyBorder="1" applyAlignment="1">
      <alignment horizontal="left"/>
    </xf>
    <xf numFmtId="0" fontId="0" fillId="0" borderId="6" xfId="0" quotePrefix="1" applyBorder="1" applyAlignment="1">
      <alignment horizontal="left"/>
    </xf>
    <xf numFmtId="0" fontId="4" fillId="0" borderId="0" xfId="0" quotePrefix="1" applyFont="1" applyAlignment="1">
      <alignment horizontal="right" vertical="center"/>
    </xf>
    <xf numFmtId="0" fontId="0" fillId="0" borderId="1" xfId="0" quotePrefix="1" applyBorder="1" applyAlignment="1">
      <alignment horizontal="left"/>
    </xf>
    <xf numFmtId="165" fontId="0" fillId="0" borderId="1" xfId="0" applyNumberFormat="1" applyBorder="1"/>
    <xf numFmtId="180" fontId="0" fillId="2" borderId="13" xfId="0" applyNumberFormat="1" applyFill="1" applyBorder="1"/>
    <xf numFmtId="180" fontId="0" fillId="2" borderId="10" xfId="0" applyNumberFormat="1" applyFill="1" applyBorder="1"/>
    <xf numFmtId="0" fontId="4" fillId="0" borderId="0" xfId="0" applyFont="1" applyAlignment="1">
      <alignment horizontal="right"/>
    </xf>
    <xf numFmtId="0" fontId="2" fillId="0" borderId="0" xfId="0" quotePrefix="1" applyFont="1" applyAlignment="1">
      <alignment horizontal="right"/>
    </xf>
    <xf numFmtId="4" fontId="2" fillId="0" borderId="0" xfId="7" quotePrefix="1" applyNumberFormat="1" applyFont="1" applyBorder="1" applyAlignment="1"/>
    <xf numFmtId="0" fontId="2" fillId="0" borderId="0" xfId="0" applyFont="1" applyAlignment="1">
      <alignment horizontal="left" indent="5"/>
    </xf>
    <xf numFmtId="0" fontId="2" fillId="0" borderId="0" xfId="0" quotePrefix="1" applyFont="1" applyAlignment="1">
      <alignment horizontal="left" indent="5"/>
    </xf>
    <xf numFmtId="168" fontId="2" fillId="2" borderId="0" xfId="0" applyNumberFormat="1" applyFont="1" applyFill="1"/>
    <xf numFmtId="175" fontId="0" fillId="0" borderId="0" xfId="0" applyNumberFormat="1"/>
    <xf numFmtId="0" fontId="0" fillId="0" borderId="0" xfId="0" applyAlignment="1">
      <alignment horizontal="left" indent="3"/>
    </xf>
    <xf numFmtId="0" fontId="2" fillId="0" borderId="0" xfId="0" quotePrefix="1" applyFont="1" applyAlignment="1">
      <alignment horizontal="left" indent="4"/>
    </xf>
    <xf numFmtId="0" fontId="2" fillId="0" borderId="0" xfId="0" applyFont="1" applyAlignment="1">
      <alignment horizontal="left" indent="4"/>
    </xf>
    <xf numFmtId="14" fontId="0" fillId="0" borderId="0" xfId="0" applyNumberFormat="1"/>
    <xf numFmtId="177" fontId="2" fillId="2" borderId="0" xfId="0" quotePrefix="1" applyNumberFormat="1" applyFont="1" applyFill="1" applyAlignment="1">
      <alignment horizontal="right"/>
    </xf>
    <xf numFmtId="176" fontId="2" fillId="0" borderId="0" xfId="0" applyNumberFormat="1" applyFont="1"/>
    <xf numFmtId="177" fontId="2" fillId="0" borderId="0" xfId="0" quotePrefix="1" applyNumberFormat="1" applyFont="1" applyAlignment="1">
      <alignment horizontal="right"/>
    </xf>
    <xf numFmtId="177" fontId="2" fillId="0" borderId="1" xfId="0" quotePrefix="1" applyNumberFormat="1" applyFont="1" applyBorder="1" applyAlignment="1">
      <alignment horizontal="right"/>
    </xf>
    <xf numFmtId="177" fontId="2" fillId="0" borderId="0" xfId="0" applyNumberFormat="1" applyFont="1"/>
    <xf numFmtId="0" fontId="0" fillId="0" borderId="0" xfId="0" applyAlignment="1">
      <alignment horizontal="left" indent="2"/>
    </xf>
    <xf numFmtId="171" fontId="4" fillId="0" borderId="0" xfId="0" applyNumberFormat="1" applyFont="1"/>
    <xf numFmtId="3" fontId="4" fillId="0" borderId="0" xfId="0" applyNumberFormat="1" applyFont="1"/>
    <xf numFmtId="175" fontId="2" fillId="0" borderId="0" xfId="7" applyNumberFormat="1" applyFont="1"/>
    <xf numFmtId="165" fontId="2" fillId="0" borderId="0" xfId="0" applyNumberFormat="1" applyFont="1" applyAlignment="1">
      <alignment horizontal="left"/>
    </xf>
    <xf numFmtId="0" fontId="0" fillId="0" borderId="11" xfId="0" quotePrefix="1" applyBorder="1" applyAlignment="1">
      <alignment horizontal="right"/>
    </xf>
    <xf numFmtId="0" fontId="0" fillId="0" borderId="14" xfId="0" applyBorder="1"/>
    <xf numFmtId="3" fontId="0" fillId="0" borderId="14" xfId="0" applyNumberFormat="1" applyBorder="1"/>
    <xf numFmtId="0" fontId="0" fillId="0" borderId="12" xfId="0" applyBorder="1"/>
    <xf numFmtId="0" fontId="0" fillId="0" borderId="1" xfId="0" applyBorder="1" applyAlignment="1">
      <alignment horizontal="left"/>
    </xf>
    <xf numFmtId="6" fontId="0" fillId="0" borderId="1" xfId="0" quotePrefix="1" applyNumberFormat="1" applyBorder="1" applyAlignment="1">
      <alignment horizontal="right"/>
    </xf>
    <xf numFmtId="6" fontId="0" fillId="0" borderId="8" xfId="0" quotePrefix="1" applyNumberFormat="1" applyBorder="1" applyAlignment="1">
      <alignment horizontal="right"/>
    </xf>
    <xf numFmtId="0" fontId="0" fillId="0" borderId="11" xfId="0" applyBorder="1"/>
    <xf numFmtId="0" fontId="0" fillId="0" borderId="10" xfId="0" applyBorder="1"/>
    <xf numFmtId="0" fontId="0" fillId="0" borderId="11" xfId="0" applyBorder="1" applyAlignment="1">
      <alignment horizontal="right"/>
    </xf>
    <xf numFmtId="0" fontId="0" fillId="0" borderId="9" xfId="0" applyBorder="1" applyAlignment="1">
      <alignment horizontal="right"/>
    </xf>
    <xf numFmtId="0" fontId="11" fillId="0" borderId="15" xfId="0" quotePrefix="1" applyFont="1" applyBorder="1" applyAlignment="1">
      <alignment horizontal="left"/>
    </xf>
    <xf numFmtId="0" fontId="4" fillId="0" borderId="16" xfId="0" applyFont="1" applyBorder="1"/>
    <xf numFmtId="0" fontId="0" fillId="0" borderId="16" xfId="0" applyBorder="1"/>
    <xf numFmtId="0" fontId="0" fillId="0" borderId="17" xfId="0" applyBorder="1"/>
    <xf numFmtId="0" fontId="0" fillId="0" borderId="18" xfId="0" applyBorder="1"/>
    <xf numFmtId="0" fontId="4" fillId="0" borderId="19" xfId="0" quotePrefix="1" applyFont="1" applyBorder="1" applyAlignment="1">
      <alignment horizontal="left"/>
    </xf>
    <xf numFmtId="0" fontId="0" fillId="0" borderId="20" xfId="0" applyBorder="1"/>
    <xf numFmtId="0" fontId="0" fillId="0" borderId="19" xfId="0" applyBorder="1" applyAlignment="1">
      <alignment horizontal="left"/>
    </xf>
    <xf numFmtId="0" fontId="0" fillId="0" borderId="19" xfId="0" applyBorder="1"/>
    <xf numFmtId="0" fontId="0" fillId="0" borderId="19" xfId="0" quotePrefix="1" applyBorder="1" applyAlignment="1">
      <alignment horizontal="left"/>
    </xf>
    <xf numFmtId="0" fontId="0" fillId="0" borderId="20" xfId="0" quotePrefix="1" applyBorder="1" applyAlignment="1">
      <alignment horizontal="left"/>
    </xf>
    <xf numFmtId="0" fontId="0" fillId="0" borderId="21" xfId="0" applyBorder="1"/>
    <xf numFmtId="0" fontId="0" fillId="0" borderId="22" xfId="0" applyBorder="1"/>
    <xf numFmtId="0" fontId="4" fillId="0" borderId="20" xfId="0" quotePrefix="1" applyFont="1" applyBorder="1" applyAlignment="1">
      <alignment horizontal="left"/>
    </xf>
    <xf numFmtId="0" fontId="0" fillId="0" borderId="23" xfId="0" applyBorder="1"/>
    <xf numFmtId="0" fontId="0" fillId="0" borderId="19" xfId="0" applyBorder="1" applyAlignment="1">
      <alignment horizontal="left" indent="4"/>
    </xf>
    <xf numFmtId="0" fontId="0" fillId="0" borderId="20" xfId="0" applyBorder="1" applyAlignment="1">
      <alignment horizontal="left" indent="4"/>
    </xf>
    <xf numFmtId="0" fontId="0" fillId="0" borderId="24" xfId="0" applyBorder="1"/>
    <xf numFmtId="0" fontId="4" fillId="0" borderId="22" xfId="0" applyFont="1" applyBorder="1" applyAlignment="1">
      <alignment horizontal="right"/>
    </xf>
    <xf numFmtId="0" fontId="0" fillId="0" borderId="14" xfId="0" applyBorder="1" applyAlignment="1">
      <alignment horizontal="right"/>
    </xf>
    <xf numFmtId="0" fontId="0" fillId="0" borderId="10" xfId="0" applyBorder="1" applyAlignment="1">
      <alignment horizontal="right"/>
    </xf>
    <xf numFmtId="0" fontId="0" fillId="0" borderId="4" xfId="0" applyBorder="1" applyAlignment="1">
      <alignment horizontal="centerContinuous"/>
    </xf>
    <xf numFmtId="0" fontId="0" fillId="0" borderId="5" xfId="0" applyBorder="1" applyAlignment="1">
      <alignment horizontal="centerContinuous"/>
    </xf>
    <xf numFmtId="0" fontId="0" fillId="0" borderId="25" xfId="0" applyBorder="1" applyAlignment="1">
      <alignment horizontal="centerContinuous"/>
    </xf>
    <xf numFmtId="0" fontId="0" fillId="0" borderId="24" xfId="0" applyBorder="1" applyAlignment="1">
      <alignment horizontal="right"/>
    </xf>
    <xf numFmtId="0" fontId="0" fillId="0" borderId="23" xfId="0" applyBorder="1" applyAlignment="1">
      <alignment horizontal="right"/>
    </xf>
    <xf numFmtId="171" fontId="4" fillId="0" borderId="26" xfId="0" applyNumberFormat="1" applyFont="1" applyBorder="1" applyAlignment="1">
      <alignment horizontal="right" wrapText="1"/>
    </xf>
    <xf numFmtId="171" fontId="4" fillId="0" borderId="27" xfId="0" applyNumberFormat="1" applyFont="1" applyBorder="1" applyAlignment="1">
      <alignment horizontal="right" wrapText="1"/>
    </xf>
    <xf numFmtId="0" fontId="4" fillId="0" borderId="16" xfId="0" applyFont="1" applyBorder="1" applyAlignment="1">
      <alignment horizontal="right"/>
    </xf>
    <xf numFmtId="165" fontId="0" fillId="0" borderId="11" xfId="0" applyNumberFormat="1" applyBorder="1"/>
    <xf numFmtId="165" fontId="0" fillId="0" borderId="12" xfId="0" applyNumberFormat="1" applyBorder="1"/>
    <xf numFmtId="165" fontId="0" fillId="0" borderId="8" xfId="0" applyNumberFormat="1" applyBorder="1"/>
    <xf numFmtId="0" fontId="0" fillId="0" borderId="28" xfId="0" applyBorder="1"/>
    <xf numFmtId="165" fontId="2" fillId="0" borderId="12" xfId="0" applyNumberFormat="1" applyFont="1" applyBorder="1"/>
    <xf numFmtId="3" fontId="2" fillId="0" borderId="29" xfId="0" applyNumberFormat="1" applyFont="1" applyBorder="1"/>
    <xf numFmtId="165" fontId="2" fillId="0" borderId="30" xfId="0" applyNumberFormat="1" applyFont="1" applyBorder="1"/>
    <xf numFmtId="165" fontId="2" fillId="0" borderId="8" xfId="0" applyNumberFormat="1" applyFont="1" applyBorder="1"/>
    <xf numFmtId="171" fontId="4" fillId="0" borderId="0" xfId="0" applyNumberFormat="1" applyFont="1" applyAlignment="1">
      <alignment horizontal="right"/>
    </xf>
    <xf numFmtId="177" fontId="2" fillId="2" borderId="0" xfId="0" applyNumberFormat="1" applyFont="1" applyFill="1" applyAlignment="1">
      <alignment horizontal="right"/>
    </xf>
    <xf numFmtId="0" fontId="0" fillId="0" borderId="2" xfId="0" applyBorder="1" applyAlignment="1">
      <alignment horizontal="left" indent="3"/>
    </xf>
    <xf numFmtId="0" fontId="2" fillId="0" borderId="12" xfId="0" applyFont="1" applyBorder="1" applyAlignment="1">
      <alignment horizontal="right"/>
    </xf>
    <xf numFmtId="0" fontId="2" fillId="0" borderId="13" xfId="0" applyFont="1" applyBorder="1" applyAlignment="1">
      <alignment horizontal="right"/>
    </xf>
    <xf numFmtId="0" fontId="4" fillId="3" borderId="31" xfId="0" applyFont="1" applyFill="1" applyBorder="1" applyAlignment="1">
      <alignment horizontal="centerContinuous"/>
    </xf>
    <xf numFmtId="0" fontId="4" fillId="3" borderId="32" xfId="0" applyFont="1" applyFill="1" applyBorder="1" applyAlignment="1">
      <alignment horizontal="centerContinuous"/>
    </xf>
    <xf numFmtId="0" fontId="0" fillId="3" borderId="32" xfId="0" applyFill="1" applyBorder="1" applyAlignment="1">
      <alignment horizontal="centerContinuous"/>
    </xf>
    <xf numFmtId="0" fontId="0" fillId="3" borderId="33" xfId="0" applyFill="1" applyBorder="1" applyAlignment="1">
      <alignment horizontal="centerContinuous"/>
    </xf>
    <xf numFmtId="0" fontId="4" fillId="0" borderId="6" xfId="0" quotePrefix="1" applyFont="1" applyBorder="1" applyAlignment="1">
      <alignment horizontal="left"/>
    </xf>
    <xf numFmtId="0" fontId="4" fillId="0" borderId="2" xfId="0" quotePrefix="1" applyFont="1" applyBorder="1" applyAlignment="1">
      <alignment horizontal="left"/>
    </xf>
    <xf numFmtId="171" fontId="2" fillId="0" borderId="7" xfId="0" quotePrefix="1" applyNumberFormat="1" applyFont="1" applyBorder="1" applyAlignment="1">
      <alignment horizontal="right"/>
    </xf>
    <xf numFmtId="0" fontId="0" fillId="0" borderId="19" xfId="0" quotePrefix="1" applyBorder="1" applyAlignment="1">
      <alignment horizontal="left" indent="4"/>
    </xf>
    <xf numFmtId="0" fontId="0" fillId="0" borderId="20" xfId="0" quotePrefix="1" applyBorder="1" applyAlignment="1">
      <alignment horizontal="left" indent="4"/>
    </xf>
    <xf numFmtId="0" fontId="11" fillId="0" borderId="19" xfId="0" quotePrefix="1" applyFont="1" applyBorder="1" applyAlignment="1">
      <alignment horizontal="left"/>
    </xf>
    <xf numFmtId="0" fontId="6" fillId="0" borderId="0" xfId="0" applyFont="1"/>
    <xf numFmtId="0" fontId="6" fillId="0" borderId="0" xfId="0" quotePrefix="1" applyFont="1" applyAlignment="1">
      <alignment horizontal="left"/>
    </xf>
    <xf numFmtId="3" fontId="2" fillId="0" borderId="1" xfId="0" applyNumberFormat="1" applyFont="1" applyBorder="1" applyAlignment="1">
      <alignment horizontal="right"/>
    </xf>
    <xf numFmtId="0" fontId="2" fillId="0" borderId="1" xfId="0" applyFont="1" applyBorder="1" applyAlignment="1">
      <alignment horizontal="right"/>
    </xf>
    <xf numFmtId="171" fontId="2" fillId="0" borderId="1" xfId="0" applyNumberFormat="1" applyFont="1" applyBorder="1" applyAlignment="1">
      <alignment horizontal="right"/>
    </xf>
    <xf numFmtId="175" fontId="2" fillId="0" borderId="1" xfId="0" applyNumberFormat="1" applyFont="1" applyBorder="1" applyAlignment="1">
      <alignment horizontal="right" wrapText="1"/>
    </xf>
    <xf numFmtId="165" fontId="2" fillId="0" borderId="1" xfId="0" applyNumberFormat="1" applyFont="1" applyBorder="1" applyAlignment="1">
      <alignment horizontal="right"/>
    </xf>
    <xf numFmtId="3" fontId="0" fillId="0" borderId="0" xfId="0" applyNumberFormat="1" applyAlignment="1">
      <alignment horizontal="centerContinuous"/>
    </xf>
    <xf numFmtId="183" fontId="2" fillId="0" borderId="0" xfId="0" applyNumberFormat="1" applyFont="1"/>
    <xf numFmtId="0" fontId="11" fillId="0" borderId="0" xfId="0" applyFont="1" applyAlignment="1">
      <alignment horizontal="left"/>
    </xf>
    <xf numFmtId="3" fontId="3" fillId="0" borderId="0" xfId="0" quotePrefix="1" applyNumberFormat="1" applyFont="1" applyAlignment="1">
      <alignment wrapText="1"/>
    </xf>
    <xf numFmtId="3" fontId="3" fillId="0" borderId="0" xfId="0" applyNumberFormat="1" applyFont="1" applyAlignment="1">
      <alignment wrapText="1"/>
    </xf>
    <xf numFmtId="10" fontId="0" fillId="0" borderId="1" xfId="0" applyNumberFormat="1" applyBorder="1"/>
    <xf numFmtId="0" fontId="0" fillId="0" borderId="0" xfId="0" quotePrefix="1" applyAlignment="1">
      <alignment horizontal="right"/>
    </xf>
    <xf numFmtId="174" fontId="0" fillId="0" borderId="1" xfId="0" applyNumberFormat="1" applyBorder="1"/>
    <xf numFmtId="185" fontId="0" fillId="0" borderId="0" xfId="0" applyNumberFormat="1"/>
    <xf numFmtId="170" fontId="2" fillId="0" borderId="0" xfId="0" applyNumberFormat="1" applyFont="1" applyAlignment="1">
      <alignment horizontal="right" wrapText="1"/>
    </xf>
    <xf numFmtId="0" fontId="0" fillId="0" borderId="1" xfId="0" applyBorder="1" applyAlignment="1">
      <alignment horizontal="right"/>
    </xf>
    <xf numFmtId="167" fontId="2" fillId="0" borderId="0" xfId="0" applyNumberFormat="1" applyFont="1" applyAlignment="1">
      <alignment horizontal="right" wrapText="1"/>
    </xf>
    <xf numFmtId="0" fontId="4" fillId="0" borderId="0" xfId="0" quotePrefix="1" applyFont="1" applyAlignment="1">
      <alignment horizontal="left" indent="1"/>
    </xf>
    <xf numFmtId="0" fontId="11" fillId="0" borderId="0" xfId="0" applyFont="1"/>
    <xf numFmtId="164" fontId="2" fillId="0" borderId="0" xfId="0" quotePrefix="1" applyNumberFormat="1" applyFont="1" applyAlignment="1">
      <alignment horizontal="left" wrapText="1"/>
    </xf>
    <xf numFmtId="10" fontId="2" fillId="0" borderId="1" xfId="0" applyNumberFormat="1" applyFont="1" applyBorder="1"/>
    <xf numFmtId="10" fontId="2" fillId="0" borderId="0" xfId="0" quotePrefix="1" applyNumberFormat="1" applyFont="1" applyAlignment="1">
      <alignment horizontal="right"/>
    </xf>
    <xf numFmtId="177" fontId="2" fillId="2" borderId="0" xfId="0" applyNumberFormat="1" applyFont="1" applyFill="1" applyAlignment="1">
      <alignment horizontal="right" wrapText="1"/>
    </xf>
    <xf numFmtId="177" fontId="2" fillId="0" borderId="0" xfId="0" applyNumberFormat="1" applyFont="1" applyAlignment="1">
      <alignment horizontal="right"/>
    </xf>
    <xf numFmtId="165" fontId="2" fillId="0" borderId="14" xfId="0" applyNumberFormat="1" applyFont="1" applyBorder="1" applyAlignment="1">
      <alignment horizontal="right" wrapText="1"/>
    </xf>
    <xf numFmtId="171" fontId="2" fillId="0" borderId="14" xfId="0" applyNumberFormat="1" applyFont="1" applyBorder="1" applyAlignment="1">
      <alignment horizontal="right" wrapText="1"/>
    </xf>
    <xf numFmtId="10" fontId="0" fillId="0" borderId="14" xfId="0" applyNumberFormat="1" applyBorder="1"/>
    <xf numFmtId="171" fontId="2" fillId="0" borderId="9" xfId="0" applyNumberFormat="1" applyFont="1" applyBorder="1" applyAlignment="1">
      <alignment horizontal="right" wrapText="1"/>
    </xf>
    <xf numFmtId="0" fontId="0" fillId="0" borderId="8" xfId="0" applyBorder="1" applyAlignment="1">
      <alignment horizontal="right"/>
    </xf>
    <xf numFmtId="171" fontId="2" fillId="0" borderId="10" xfId="0" applyNumberFormat="1" applyFont="1" applyBorder="1" applyAlignment="1">
      <alignment horizontal="right" wrapText="1"/>
    </xf>
    <xf numFmtId="0" fontId="0" fillId="0" borderId="3" xfId="0" applyBorder="1" applyAlignment="1">
      <alignment horizontal="centerContinuous"/>
    </xf>
    <xf numFmtId="0" fontId="0" fillId="0" borderId="8" xfId="0" quotePrefix="1" applyBorder="1" applyAlignment="1">
      <alignment horizontal="right"/>
    </xf>
    <xf numFmtId="0" fontId="0" fillId="0" borderId="12" xfId="0" applyBorder="1" applyAlignment="1">
      <alignment horizontal="right"/>
    </xf>
    <xf numFmtId="0" fontId="0" fillId="0" borderId="13" xfId="0" applyBorder="1" applyAlignment="1">
      <alignment horizontal="right"/>
    </xf>
    <xf numFmtId="0" fontId="0" fillId="0" borderId="2" xfId="0" applyBorder="1" applyAlignment="1">
      <alignment horizontal="left" indent="5"/>
    </xf>
    <xf numFmtId="0" fontId="0" fillId="0" borderId="2" xfId="0" applyBorder="1" applyAlignment="1">
      <alignment horizontal="center"/>
    </xf>
    <xf numFmtId="0" fontId="0" fillId="0" borderId="2" xfId="0" quotePrefix="1" applyBorder="1" applyAlignment="1">
      <alignment horizontal="left" indent="5"/>
    </xf>
    <xf numFmtId="165" fontId="2" fillId="0" borderId="0" xfId="0" quotePrefix="1" applyNumberFormat="1" applyFont="1" applyAlignment="1">
      <alignment horizontal="right"/>
    </xf>
    <xf numFmtId="3" fontId="2" fillId="0" borderId="0" xfId="0" applyNumberFormat="1" applyFont="1" applyAlignment="1">
      <alignment horizontal="center"/>
    </xf>
    <xf numFmtId="0" fontId="0" fillId="0" borderId="0" xfId="0" applyAlignment="1">
      <alignment horizontal="left" indent="4"/>
    </xf>
    <xf numFmtId="165" fontId="4" fillId="0" borderId="0" xfId="0" applyNumberFormat="1" applyFont="1" applyAlignment="1">
      <alignment horizontal="right"/>
    </xf>
    <xf numFmtId="176" fontId="4" fillId="0" borderId="0" xfId="0" applyNumberFormat="1" applyFont="1"/>
    <xf numFmtId="165" fontId="4" fillId="0" borderId="0" xfId="0" applyNumberFormat="1" applyFont="1"/>
    <xf numFmtId="0" fontId="4" fillId="0" borderId="1" xfId="0" applyFont="1" applyBorder="1" applyAlignment="1">
      <alignment horizontal="right"/>
    </xf>
    <xf numFmtId="6" fontId="0" fillId="0" borderId="0" xfId="0" quotePrefix="1" applyNumberFormat="1" applyAlignment="1">
      <alignment horizontal="right"/>
    </xf>
    <xf numFmtId="6" fontId="0" fillId="0" borderId="12" xfId="0" quotePrefix="1" applyNumberFormat="1" applyBorder="1" applyAlignment="1">
      <alignment horizontal="right"/>
    </xf>
    <xf numFmtId="171" fontId="2" fillId="0" borderId="13" xfId="0" applyNumberFormat="1" applyFont="1" applyBorder="1" applyAlignment="1">
      <alignment horizontal="right" wrapText="1"/>
    </xf>
    <xf numFmtId="0" fontId="2" fillId="0" borderId="9" xfId="0" applyFont="1" applyBorder="1"/>
    <xf numFmtId="0" fontId="2" fillId="0" borderId="13" xfId="0" applyFont="1" applyBorder="1"/>
    <xf numFmtId="0" fontId="4" fillId="0" borderId="34" xfId="0" applyFont="1" applyBorder="1" applyAlignment="1">
      <alignment horizontal="centerContinuous"/>
    </xf>
    <xf numFmtId="0" fontId="0" fillId="0" borderId="35" xfId="0" applyBorder="1" applyAlignment="1">
      <alignment horizontal="centerContinuous"/>
    </xf>
    <xf numFmtId="0" fontId="0" fillId="0" borderId="36" xfId="0" applyBorder="1" applyAlignment="1">
      <alignment horizontal="centerContinuous"/>
    </xf>
    <xf numFmtId="0" fontId="4" fillId="0" borderId="35" xfId="0" applyFont="1" applyBorder="1" applyAlignment="1">
      <alignment horizontal="centerContinuous"/>
    </xf>
    <xf numFmtId="0" fontId="4" fillId="0" borderId="37" xfId="0" applyFont="1" applyBorder="1" applyAlignment="1">
      <alignment horizontal="centerContinuous"/>
    </xf>
    <xf numFmtId="0" fontId="0" fillId="0" borderId="18" xfId="0" applyBorder="1" applyAlignment="1">
      <alignment horizontal="right"/>
    </xf>
    <xf numFmtId="171" fontId="4" fillId="0" borderId="23" xfId="0" applyNumberFormat="1" applyFont="1" applyBorder="1" applyAlignment="1">
      <alignment horizontal="right" wrapText="1"/>
    </xf>
    <xf numFmtId="171" fontId="2" fillId="0" borderId="18" xfId="0" applyNumberFormat="1" applyFont="1" applyBorder="1" applyAlignment="1">
      <alignment horizontal="right" wrapText="1"/>
    </xf>
    <xf numFmtId="165" fontId="2" fillId="0" borderId="38" xfId="0" applyNumberFormat="1" applyFont="1" applyBorder="1"/>
    <xf numFmtId="3" fontId="2" fillId="0" borderId="22" xfId="0" applyNumberFormat="1" applyFont="1" applyBorder="1"/>
    <xf numFmtId="171" fontId="2" fillId="0" borderId="39" xfId="0" applyNumberFormat="1" applyFont="1" applyBorder="1" applyAlignment="1">
      <alignment horizontal="right" wrapText="1"/>
    </xf>
    <xf numFmtId="165" fontId="0" fillId="0" borderId="38" xfId="0" applyNumberFormat="1" applyBorder="1"/>
    <xf numFmtId="3" fontId="0" fillId="0" borderId="22" xfId="0" applyNumberFormat="1" applyBorder="1"/>
    <xf numFmtId="171" fontId="4" fillId="0" borderId="40" xfId="0" applyNumberFormat="1" applyFont="1" applyBorder="1" applyAlignment="1">
      <alignment horizontal="right" wrapText="1"/>
    </xf>
    <xf numFmtId="171" fontId="2" fillId="0" borderId="23" xfId="0" applyNumberFormat="1" applyFont="1" applyBorder="1" applyAlignment="1">
      <alignment horizontal="right" wrapText="1"/>
    </xf>
    <xf numFmtId="0" fontId="0" fillId="0" borderId="15" xfId="0" applyBorder="1"/>
    <xf numFmtId="171" fontId="4" fillId="0" borderId="18" xfId="0" applyNumberFormat="1" applyFont="1" applyBorder="1" applyAlignment="1">
      <alignment horizontal="right" wrapText="1"/>
    </xf>
    <xf numFmtId="0" fontId="0" fillId="0" borderId="31" xfId="0" applyBorder="1"/>
    <xf numFmtId="0" fontId="4" fillId="0" borderId="32" xfId="0" quotePrefix="1" applyFont="1" applyBorder="1" applyAlignment="1">
      <alignment horizontal="right"/>
    </xf>
    <xf numFmtId="165" fontId="2" fillId="0" borderId="32" xfId="0" applyNumberFormat="1" applyFont="1" applyBorder="1"/>
    <xf numFmtId="0" fontId="0" fillId="0" borderId="32" xfId="0" applyBorder="1"/>
    <xf numFmtId="0" fontId="0" fillId="0" borderId="33" xfId="0" applyBorder="1"/>
    <xf numFmtId="0" fontId="3" fillId="0" borderId="0" xfId="0" quotePrefix="1" applyFont="1" applyAlignment="1">
      <alignment horizontal="left"/>
    </xf>
    <xf numFmtId="0" fontId="0" fillId="0" borderId="0" xfId="0" quotePrefix="1" applyAlignment="1">
      <alignment horizontal="left" indent="4"/>
    </xf>
    <xf numFmtId="0" fontId="4" fillId="0" borderId="0" xfId="0" applyFont="1" applyAlignment="1">
      <alignment horizontal="left" indent="4"/>
    </xf>
    <xf numFmtId="168" fontId="2" fillId="0" borderId="0" xfId="0" quotePrefix="1" applyNumberFormat="1" applyFont="1" applyAlignment="1">
      <alignment horizontal="right"/>
    </xf>
    <xf numFmtId="175" fontId="0" fillId="0" borderId="2" xfId="0" applyNumberFormat="1" applyBorder="1"/>
    <xf numFmtId="175" fontId="0" fillId="0" borderId="7" xfId="0" applyNumberFormat="1" applyBorder="1"/>
    <xf numFmtId="175" fontId="2" fillId="0" borderId="6" xfId="0" applyNumberFormat="1" applyFont="1" applyBorder="1" applyAlignment="1">
      <alignment horizontal="center"/>
    </xf>
    <xf numFmtId="175" fontId="2" fillId="0" borderId="7" xfId="0" applyNumberFormat="1" applyFont="1" applyBorder="1" applyAlignment="1">
      <alignment horizontal="center"/>
    </xf>
    <xf numFmtId="175" fontId="0" fillId="3" borderId="2" xfId="0" applyNumberFormat="1" applyFill="1" applyBorder="1"/>
    <xf numFmtId="0" fontId="3" fillId="0" borderId="0" xfId="0" applyFont="1" applyAlignment="1">
      <alignment horizontal="centerContinuous"/>
    </xf>
    <xf numFmtId="0" fontId="3" fillId="0" borderId="0" xfId="0" quotePrefix="1" applyFont="1" applyAlignment="1">
      <alignment horizontal="centerContinuous"/>
    </xf>
    <xf numFmtId="3" fontId="3" fillId="0" borderId="0" xfId="0" quotePrefix="1" applyNumberFormat="1" applyFont="1" applyAlignment="1">
      <alignment horizontal="right" wrapText="1"/>
    </xf>
    <xf numFmtId="3" fontId="3" fillId="0" borderId="0" xfId="0" applyNumberFormat="1" applyFont="1" applyAlignment="1">
      <alignment horizontal="right" wrapText="1"/>
    </xf>
    <xf numFmtId="175" fontId="1" fillId="0" borderId="0" xfId="7" applyNumberFormat="1" applyBorder="1"/>
    <xf numFmtId="184" fontId="2" fillId="0" borderId="0" xfId="7" applyNumberFormat="1" applyFont="1"/>
    <xf numFmtId="177" fontId="2" fillId="0" borderId="0" xfId="0" applyNumberFormat="1" applyFont="1" applyAlignment="1">
      <alignment horizontal="right" wrapText="1"/>
    </xf>
    <xf numFmtId="175" fontId="0" fillId="0" borderId="0" xfId="7" applyNumberFormat="1" applyFont="1"/>
    <xf numFmtId="176" fontId="0" fillId="0" borderId="13" xfId="0" applyNumberFormat="1" applyBorder="1"/>
    <xf numFmtId="181" fontId="2" fillId="2" borderId="41" xfId="0" applyNumberFormat="1" applyFont="1" applyFill="1" applyBorder="1"/>
    <xf numFmtId="0" fontId="4" fillId="0" borderId="7" xfId="0" quotePrefix="1" applyFont="1" applyBorder="1" applyAlignment="1">
      <alignment horizontal="left"/>
    </xf>
    <xf numFmtId="0" fontId="2" fillId="0" borderId="0" xfId="0" quotePrefix="1" applyFont="1" applyAlignment="1">
      <alignment horizontal="left" vertical="center"/>
    </xf>
    <xf numFmtId="3" fontId="0" fillId="0" borderId="0" xfId="0" quotePrefix="1" applyNumberFormat="1" applyAlignment="1">
      <alignment horizontal="right"/>
    </xf>
    <xf numFmtId="175" fontId="2" fillId="0" borderId="0" xfId="7" applyNumberFormat="1" applyFont="1" applyBorder="1"/>
    <xf numFmtId="179" fontId="0" fillId="0" borderId="0" xfId="0" applyNumberFormat="1"/>
    <xf numFmtId="0" fontId="2" fillId="0" borderId="0" xfId="0" applyFont="1" applyAlignment="1">
      <alignment horizontal="left" vertical="center" wrapText="1"/>
    </xf>
    <xf numFmtId="0" fontId="0" fillId="0" borderId="0" xfId="0"/>
    <xf numFmtId="0" fontId="2" fillId="0" borderId="0" xfId="0" quotePrefix="1" applyFont="1" applyAlignment="1">
      <alignment horizontal="left" wrapText="1"/>
    </xf>
    <xf numFmtId="0" fontId="0" fillId="0" borderId="0" xfId="0" applyAlignment="1">
      <alignment wrapText="1"/>
    </xf>
    <xf numFmtId="0" fontId="2" fillId="0" borderId="0" xfId="0" quotePrefix="1" applyFont="1" applyAlignment="1">
      <alignment horizontal="left" vertical="center" wrapText="1"/>
    </xf>
    <xf numFmtId="0" fontId="0" fillId="0" borderId="0" xfId="0" applyAlignment="1">
      <alignment vertical="center" wrapText="1"/>
    </xf>
  </cellXfs>
  <cellStyles count="8">
    <cellStyle name="ac" xfId="1" xr:uid="{00000000-0005-0000-0000-000000000000}"/>
    <cellStyle name="Milliers [0]_EDYAN" xfId="2" xr:uid="{00000000-0005-0000-0000-000001000000}"/>
    <cellStyle name="Milliers_EDYAN" xfId="3" xr:uid="{00000000-0005-0000-0000-000002000000}"/>
    <cellStyle name="Monétaire [0]_EDYAN" xfId="4" xr:uid="{00000000-0005-0000-0000-000003000000}"/>
    <cellStyle name="Monétaire_EDYAN" xfId="5" xr:uid="{00000000-0005-0000-0000-000004000000}"/>
    <cellStyle name="Normal" xfId="0" builtinId="0"/>
    <cellStyle name="Normal - Style1" xfId="6" xr:uid="{00000000-0005-0000-0000-000006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9:H11"/>
  <sheetViews>
    <sheetView zoomScale="70" workbookViewId="0"/>
  </sheetViews>
  <sheetFormatPr baseColWidth="10" defaultColWidth="8.83203125" defaultRowHeight="13"/>
  <sheetData>
    <row r="9" spans="1:8" ht="18">
      <c r="A9" s="124" t="s">
        <v>550</v>
      </c>
      <c r="B9" s="77"/>
      <c r="C9" s="77"/>
      <c r="D9" s="77"/>
      <c r="E9" s="77"/>
      <c r="F9" s="77"/>
      <c r="G9" s="77"/>
      <c r="H9" s="77"/>
    </row>
    <row r="10" spans="1:8" ht="18">
      <c r="A10" s="124" t="s">
        <v>390</v>
      </c>
      <c r="B10" s="77"/>
      <c r="C10" s="77"/>
      <c r="D10" s="77"/>
      <c r="E10" s="77"/>
      <c r="F10" s="77"/>
      <c r="G10" s="77"/>
      <c r="H10" s="77"/>
    </row>
    <row r="11" spans="1:8" ht="18">
      <c r="A11" s="124" t="s">
        <v>815</v>
      </c>
      <c r="B11" s="77"/>
      <c r="C11" s="77"/>
      <c r="D11" s="77"/>
      <c r="E11" s="77"/>
      <c r="F11" s="77"/>
      <c r="G11" s="77"/>
      <c r="H11" s="77"/>
    </row>
  </sheetData>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Y85"/>
  <sheetViews>
    <sheetView zoomScale="70" workbookViewId="0"/>
  </sheetViews>
  <sheetFormatPr baseColWidth="10" defaultColWidth="8.83203125" defaultRowHeight="13"/>
  <cols>
    <col min="1" max="1" width="0.83203125" customWidth="1"/>
    <col min="2" max="2" width="25.1640625" customWidth="1"/>
    <col min="3" max="3" width="14" customWidth="1"/>
    <col min="4" max="4" width="16.5" customWidth="1"/>
    <col min="5" max="6" width="10.5" customWidth="1"/>
    <col min="7" max="7" width="8.5" customWidth="1"/>
    <col min="8" max="9" width="10.5" customWidth="1"/>
    <col min="10" max="10" width="8.5" customWidth="1"/>
    <col min="11" max="12" width="10.5" customWidth="1"/>
    <col min="13" max="13" width="8.5" customWidth="1"/>
    <col min="16" max="16" width="10" bestFit="1" customWidth="1"/>
    <col min="22" max="22" width="10.1640625" bestFit="1" customWidth="1"/>
  </cols>
  <sheetData>
    <row r="1" spans="2:25" ht="16">
      <c r="B1" s="117" t="s">
        <v>232</v>
      </c>
      <c r="C1" s="117"/>
      <c r="D1" s="117"/>
    </row>
    <row r="2" spans="2:25" ht="17" thickBot="1">
      <c r="B2" s="117" t="s">
        <v>780</v>
      </c>
    </row>
    <row r="3" spans="2:25" ht="15.75" customHeight="1">
      <c r="B3" s="274" t="s">
        <v>521</v>
      </c>
      <c r="C3" s="275"/>
      <c r="D3" s="275"/>
      <c r="E3" s="276"/>
      <c r="F3" s="276"/>
      <c r="G3" s="276"/>
      <c r="H3" s="276"/>
      <c r="I3" s="276"/>
      <c r="J3" s="276"/>
      <c r="K3" s="276"/>
      <c r="L3" s="276"/>
      <c r="M3" s="277"/>
    </row>
    <row r="4" spans="2:25" ht="16">
      <c r="B4" s="325"/>
      <c r="C4" s="5"/>
      <c r="D4" s="5"/>
      <c r="E4" s="109" t="s">
        <v>343</v>
      </c>
      <c r="F4" s="295"/>
      <c r="G4" s="295"/>
      <c r="H4" s="295"/>
      <c r="I4" s="295"/>
      <c r="J4" s="295"/>
      <c r="K4" s="295"/>
      <c r="L4" s="295"/>
      <c r="M4" s="297"/>
    </row>
    <row r="5" spans="2:25">
      <c r="B5" s="279"/>
      <c r="C5" s="5"/>
      <c r="D5" s="5"/>
      <c r="E5" s="109" t="s">
        <v>329</v>
      </c>
      <c r="F5" s="295"/>
      <c r="G5" s="296"/>
      <c r="H5" s="109" t="s">
        <v>340</v>
      </c>
      <c r="I5" s="295"/>
      <c r="J5" s="296"/>
      <c r="K5" s="109" t="s">
        <v>341</v>
      </c>
      <c r="L5" s="295"/>
      <c r="M5" s="297"/>
    </row>
    <row r="6" spans="2:25">
      <c r="B6" s="279"/>
      <c r="C6" s="14"/>
      <c r="D6" s="14"/>
      <c r="E6" s="272" t="s">
        <v>319</v>
      </c>
      <c r="F6" s="293" t="s">
        <v>98</v>
      </c>
      <c r="G6" s="273" t="s">
        <v>324</v>
      </c>
      <c r="H6" s="272" t="s">
        <v>319</v>
      </c>
      <c r="I6" s="293" t="s">
        <v>98</v>
      </c>
      <c r="J6" s="273" t="s">
        <v>324</v>
      </c>
      <c r="K6" s="272" t="s">
        <v>319</v>
      </c>
      <c r="L6" s="293" t="s">
        <v>98</v>
      </c>
      <c r="M6" s="298" t="s">
        <v>324</v>
      </c>
    </row>
    <row r="7" spans="2:25">
      <c r="B7" s="280" t="s">
        <v>316</v>
      </c>
      <c r="C7" s="204" t="s">
        <v>312</v>
      </c>
      <c r="D7" s="204" t="s">
        <v>262</v>
      </c>
      <c r="E7" s="269" t="s">
        <v>320</v>
      </c>
      <c r="F7" s="268" t="s">
        <v>321</v>
      </c>
      <c r="G7" s="294" t="s">
        <v>319</v>
      </c>
      <c r="H7" s="269" t="s">
        <v>320</v>
      </c>
      <c r="I7" s="268" t="s">
        <v>321</v>
      </c>
      <c r="J7" s="294" t="s">
        <v>319</v>
      </c>
      <c r="K7" s="269" t="s">
        <v>320</v>
      </c>
      <c r="L7" s="268" t="s">
        <v>321</v>
      </c>
      <c r="M7" s="299" t="s">
        <v>319</v>
      </c>
    </row>
    <row r="8" spans="2:25">
      <c r="B8" s="283" t="s">
        <v>311</v>
      </c>
      <c r="C8" s="11" t="s">
        <v>317</v>
      </c>
      <c r="D8" s="11" t="s">
        <v>326</v>
      </c>
      <c r="E8" s="303">
        <f>SUM('Table 3.3-PARS Fwd Summary'!F13)</f>
        <v>7030.3671673259851</v>
      </c>
      <c r="F8" s="264"/>
      <c r="G8" s="170"/>
      <c r="H8" s="303">
        <f>SUM('Table 3.6-PARS RTS Summary'!F21,'Table 3.6-PARS RTS Summary'!F31,'Table 3.6-PARS RTS Summary'!F52)</f>
        <v>108976.50982830318</v>
      </c>
      <c r="I8" s="264"/>
      <c r="J8" s="170"/>
      <c r="K8" s="303">
        <f>SUM('Table 3.9-PARS Wst Summary'!F21,'Table 3.9-PARS Wst Summary'!F39)</f>
        <v>50806.099264154604</v>
      </c>
      <c r="L8" s="264"/>
      <c r="M8" s="291"/>
      <c r="P8" s="81"/>
      <c r="S8" s="81"/>
      <c r="V8" s="81"/>
    </row>
    <row r="9" spans="2:25">
      <c r="B9" s="283" t="s">
        <v>313</v>
      </c>
      <c r="C9" s="11" t="s">
        <v>318</v>
      </c>
      <c r="D9" s="11" t="s">
        <v>342</v>
      </c>
      <c r="E9" s="304">
        <f>SUM('Table 3.3-PARS Fwd Summary'!F14)</f>
        <v>463.36451431184724</v>
      </c>
      <c r="G9" s="179"/>
      <c r="H9" s="304">
        <f>SUM('Table 3.6-PARS RTS Summary'!F9,'Table 3.6-PARS RTS Summary'!F22,'Table 3.6-PARS RTS Summary'!F32,'Table 3.6-PARS RTS Summary'!F37,'Table 3.6-PARS RTS Summary'!F53)</f>
        <v>10016.543843701955</v>
      </c>
      <c r="J9" s="179"/>
      <c r="K9" s="304">
        <f>SUM('Table 3.9-PARS Wst Summary'!F9,'Table 3.9-PARS Wst Summary'!F22,'Table 3.9-PARS Wst Summary'!F40)</f>
        <v>3389.2970560472427</v>
      </c>
      <c r="M9" s="278"/>
      <c r="P9" s="81"/>
      <c r="S9" s="81"/>
      <c r="V9" s="81"/>
    </row>
    <row r="10" spans="2:25" ht="12.75" customHeight="1">
      <c r="B10" s="283" t="s">
        <v>314</v>
      </c>
      <c r="C10" s="11" t="s">
        <v>318</v>
      </c>
      <c r="D10" s="11" t="s">
        <v>344</v>
      </c>
      <c r="E10" s="304">
        <f>SUM('Table 3.3-PARS Fwd Summary'!F9,'Table 3.3-PARS Fwd Summary'!F19)</f>
        <v>1861.3010031723275</v>
      </c>
      <c r="G10" s="179"/>
      <c r="H10" s="304">
        <f>SUM('Table 3.6-PARS RTS Summary'!F17,'Table 3.6-PARS RTS Summary'!F27,'Table 3.6-PARS RTS Summary'!F48,'Table 3.6-PARS RTS Summary'!F58)</f>
        <v>1048.5865468304444</v>
      </c>
      <c r="J10" s="179"/>
      <c r="K10" s="304">
        <f>SUM('Table 3.9-PARS Wst Summary'!F17,'Table 3.9-PARS Wst Summary'!F27,'Table 3.9-PARS Wst Summary'!F35,'Table 3.9-PARS Wst Summary'!F45)</f>
        <v>782.91892230308679</v>
      </c>
      <c r="M10" s="278"/>
      <c r="P10" s="81"/>
      <c r="S10" s="81"/>
      <c r="V10" s="81"/>
    </row>
    <row r="11" spans="2:25" ht="12.75" customHeight="1">
      <c r="B11" s="281" t="s">
        <v>452</v>
      </c>
      <c r="C11" s="11" t="s">
        <v>327</v>
      </c>
      <c r="D11" s="12" t="s">
        <v>524</v>
      </c>
      <c r="E11" s="304">
        <f>SUM('Table 3.3-PARS Fwd Summary'!F5,'Table 3.3-PARS Fwd Summary'!F15)</f>
        <v>18364.914154246697</v>
      </c>
      <c r="G11" s="179"/>
      <c r="H11" s="304">
        <f>SUM('Table 3.6-PARS RTS Summary'!F5,'Table 3.6-PARS RTS Summary'!F13,'Table 3.6-PARS RTS Summary'!F23,'Table 3.6-PARS RTS Summary'!F33,'Table 3.6-PARS RTS Summary'!F44,'Table 3.6-PARS RTS Summary'!F54)</f>
        <v>30449.430601258897</v>
      </c>
      <c r="J11" s="179"/>
      <c r="K11" s="304">
        <f>SUM('Table 3.9-PARS Wst Summary'!F5,'Table 3.9-PARS Wst Summary'!F13,'Table 3.9-PARS Wst Summary'!F23,'Table 3.9-PARS Wst Summary'!F31,'Table 3.9-PARS Wst Summary'!F41)</f>
        <v>30061.770155253918</v>
      </c>
      <c r="M11" s="278"/>
      <c r="P11" s="81"/>
      <c r="S11" s="81"/>
      <c r="V11" s="81"/>
    </row>
    <row r="12" spans="2:25" ht="12.75" customHeight="1">
      <c r="B12" s="281" t="s">
        <v>523</v>
      </c>
      <c r="C12" s="11" t="s">
        <v>318</v>
      </c>
      <c r="D12" s="11" t="s">
        <v>41</v>
      </c>
      <c r="E12" s="304">
        <f>SUM('Table 3.3-PARS Fwd Summary'!F7:F8,'Table 3.3-PARS Fwd Summary'!F17:F18)</f>
        <v>3047.9562212639239</v>
      </c>
      <c r="G12" s="179"/>
      <c r="H12" s="304">
        <f>SUM('Table 3.6-PARS RTS Summary'!F7:F8,'Table 3.6-PARS RTS Summary'!F15:F16,'Table 3.6-PARS RTS Summary'!F25:F26,'Table 3.6-PARS RTS Summary'!F35:F36,'Table 3.6-PARS RTS Summary'!F46:F47,'Table 3.6-PARS RTS Summary'!F56:F57)</f>
        <v>15541.654026705821</v>
      </c>
      <c r="J12" s="179"/>
      <c r="K12" s="304">
        <f>SUM('Table 3.9-PARS Wst Summary'!F7:F8,'Table 3.9-PARS Wst Summary'!F15:F16,'Table 3.9-PARS Wst Summary'!F25:F26,'Table 3.9-PARS Wst Summary'!F33:F34,'Table 3.9-PARS Wst Summary'!F43:F44)</f>
        <v>6238.3219498488288</v>
      </c>
      <c r="M12" s="278"/>
      <c r="P12" s="81"/>
      <c r="S12" s="81"/>
      <c r="V12" s="81"/>
    </row>
    <row r="13" spans="2:25">
      <c r="B13" s="281" t="s">
        <v>330</v>
      </c>
      <c r="C13" s="11" t="s">
        <v>327</v>
      </c>
      <c r="D13" s="11" t="s">
        <v>325</v>
      </c>
      <c r="E13" s="304">
        <f>'Table 3.3-PARS Fwd Summary'!F23</f>
        <v>58625.818854781457</v>
      </c>
      <c r="G13" s="416"/>
      <c r="H13" s="304">
        <f>'Table 3.6-PARS RTS Summary'!F62</f>
        <v>174256.08857078137</v>
      </c>
      <c r="J13" s="416"/>
      <c r="K13" s="304">
        <v>0</v>
      </c>
      <c r="M13" s="278"/>
      <c r="O13" s="415"/>
      <c r="P13" s="81"/>
      <c r="R13" s="99"/>
      <c r="S13" s="81"/>
      <c r="U13" s="99"/>
      <c r="V13" s="81"/>
    </row>
    <row r="14" spans="2:25">
      <c r="B14" s="284" t="s">
        <v>331</v>
      </c>
      <c r="C14" s="238" t="s">
        <v>317</v>
      </c>
      <c r="D14" s="267" t="s">
        <v>166</v>
      </c>
      <c r="E14" s="305">
        <f>SUM('Table 3.3-PARS Fwd Summary'!F24:F26)</f>
        <v>0</v>
      </c>
      <c r="F14" s="204"/>
      <c r="G14" s="271"/>
      <c r="H14" s="305">
        <f>SUM('Table 3.6-PARS RTS Summary'!F63:F65)</f>
        <v>4262.1686148800809</v>
      </c>
      <c r="I14" s="204"/>
      <c r="J14" s="271"/>
      <c r="K14" s="305">
        <v>0</v>
      </c>
      <c r="L14" s="204"/>
      <c r="M14" s="288"/>
      <c r="O14" s="81"/>
      <c r="P14" s="81"/>
      <c r="S14" s="81"/>
      <c r="V14" s="81"/>
    </row>
    <row r="15" spans="2:25" ht="14" thickBot="1">
      <c r="B15" s="285"/>
      <c r="C15" s="286"/>
      <c r="D15" s="292" t="s">
        <v>272</v>
      </c>
      <c r="E15" s="307">
        <f>SUM(E8:E14)</f>
        <v>89393.721915102244</v>
      </c>
      <c r="F15" s="308">
        <f>'Table 3.3-PARS Fwd Summary'!B29</f>
        <v>378308.28791512776</v>
      </c>
      <c r="G15" s="300">
        <f>E15/F15</f>
        <v>0.23629860822704851</v>
      </c>
      <c r="H15" s="309">
        <f>SUM(H8:H14)</f>
        <v>344550.98203246173</v>
      </c>
      <c r="I15" s="308">
        <f>'Table 3.6-PARS RTS Summary'!B68</f>
        <v>1124462.2900584454</v>
      </c>
      <c r="J15" s="300">
        <f>H15/I15</f>
        <v>0.30641399456317314</v>
      </c>
      <c r="K15" s="309">
        <f>SUM(K8:K14)</f>
        <v>91278.407347607688</v>
      </c>
      <c r="L15" s="308">
        <f>'Table 3.9-PARS Wst Summary'!B48</f>
        <v>846681.23556353804</v>
      </c>
      <c r="M15" s="301">
        <f>K15/L15</f>
        <v>0.10780728745789929</v>
      </c>
      <c r="O15" s="61"/>
      <c r="P15" s="29"/>
      <c r="Q15" s="24"/>
      <c r="R15" s="130"/>
      <c r="S15" s="29"/>
      <c r="T15" s="24"/>
      <c r="U15" s="130"/>
      <c r="V15" s="29"/>
      <c r="W15" s="24"/>
      <c r="X15" s="130"/>
      <c r="Y15" s="167"/>
    </row>
    <row r="16" spans="2:25" ht="5" customHeight="1" thickBot="1">
      <c r="B16" s="392"/>
      <c r="C16" s="276"/>
      <c r="D16" s="302"/>
      <c r="E16" s="275"/>
      <c r="F16" s="260"/>
      <c r="G16" s="130"/>
      <c r="H16" s="5"/>
      <c r="I16" s="260"/>
      <c r="J16" s="130"/>
      <c r="K16" s="5"/>
      <c r="L16" s="260"/>
      <c r="M16" s="393"/>
      <c r="P16" s="5"/>
      <c r="Q16" s="260"/>
      <c r="R16" s="130"/>
      <c r="S16" s="5"/>
      <c r="T16" s="260"/>
      <c r="U16" s="130"/>
      <c r="V16" s="5"/>
      <c r="W16" s="260"/>
      <c r="X16" s="130"/>
    </row>
    <row r="17" spans="2:25" ht="15.75" customHeight="1">
      <c r="B17" s="274" t="s">
        <v>522</v>
      </c>
      <c r="C17" s="275"/>
      <c r="D17" s="275"/>
      <c r="E17" s="276"/>
      <c r="F17" s="276"/>
      <c r="G17" s="276"/>
      <c r="H17" s="276"/>
      <c r="I17" s="276"/>
      <c r="J17" s="276"/>
      <c r="K17" s="276"/>
      <c r="L17" s="276"/>
      <c r="M17" s="277"/>
    </row>
    <row r="18" spans="2:25" ht="12.75" customHeight="1">
      <c r="B18" s="325"/>
      <c r="C18" s="5"/>
      <c r="D18" s="5"/>
      <c r="E18" s="109" t="s">
        <v>343</v>
      </c>
      <c r="F18" s="295"/>
      <c r="G18" s="295"/>
      <c r="H18" s="295"/>
      <c r="I18" s="295"/>
      <c r="J18" s="295"/>
      <c r="K18" s="295"/>
      <c r="L18" s="295"/>
      <c r="M18" s="297"/>
      <c r="P18" s="15"/>
      <c r="Q18" s="77"/>
      <c r="R18" s="77"/>
      <c r="S18" s="77"/>
      <c r="T18" s="77"/>
      <c r="U18" s="77"/>
      <c r="V18" s="77"/>
      <c r="W18" s="77"/>
      <c r="X18" s="77"/>
    </row>
    <row r="19" spans="2:25" ht="12.75" customHeight="1">
      <c r="B19" s="279"/>
      <c r="C19" s="5"/>
      <c r="D19" s="5"/>
      <c r="E19" s="109" t="s">
        <v>557</v>
      </c>
      <c r="F19" s="295"/>
      <c r="G19" s="296"/>
      <c r="H19" s="109" t="s">
        <v>558</v>
      </c>
      <c r="I19" s="295"/>
      <c r="J19" s="296"/>
      <c r="K19" s="109" t="s">
        <v>559</v>
      </c>
      <c r="L19" s="295"/>
      <c r="M19" s="297"/>
      <c r="P19" s="15"/>
      <c r="Q19" s="77"/>
      <c r="R19" s="77"/>
      <c r="S19" s="15"/>
      <c r="T19" s="77"/>
      <c r="U19" s="77"/>
      <c r="V19" s="15"/>
      <c r="W19" s="77"/>
      <c r="X19" s="77"/>
    </row>
    <row r="20" spans="2:25" ht="12.75" customHeight="1">
      <c r="B20" s="279"/>
      <c r="C20" s="14"/>
      <c r="D20" s="14"/>
      <c r="E20" s="272" t="s">
        <v>319</v>
      </c>
      <c r="F20" s="293" t="s">
        <v>98</v>
      </c>
      <c r="G20" s="273" t="s">
        <v>324</v>
      </c>
      <c r="H20" s="272" t="s">
        <v>319</v>
      </c>
      <c r="I20" s="293" t="s">
        <v>98</v>
      </c>
      <c r="J20" s="273" t="s">
        <v>324</v>
      </c>
      <c r="K20" s="272" t="s">
        <v>319</v>
      </c>
      <c r="L20" s="293" t="s">
        <v>98</v>
      </c>
      <c r="M20" s="298" t="s">
        <v>324</v>
      </c>
      <c r="P20" s="13"/>
      <c r="Q20" s="13"/>
      <c r="R20" s="13"/>
      <c r="S20" s="13"/>
      <c r="T20" s="13"/>
      <c r="U20" s="13"/>
      <c r="V20" s="13"/>
      <c r="W20" s="13"/>
      <c r="X20" s="13"/>
    </row>
    <row r="21" spans="2:25" ht="12.75" customHeight="1">
      <c r="B21" s="280" t="s">
        <v>316</v>
      </c>
      <c r="C21" s="204" t="s">
        <v>312</v>
      </c>
      <c r="D21" s="204" t="s">
        <v>262</v>
      </c>
      <c r="E21" s="269" t="s">
        <v>320</v>
      </c>
      <c r="F21" s="268" t="s">
        <v>321</v>
      </c>
      <c r="G21" s="294" t="s">
        <v>319</v>
      </c>
      <c r="H21" s="269" t="s">
        <v>320</v>
      </c>
      <c r="I21" s="268" t="s">
        <v>321</v>
      </c>
      <c r="J21" s="294" t="s">
        <v>319</v>
      </c>
      <c r="K21" s="269" t="s">
        <v>320</v>
      </c>
      <c r="L21" s="268" t="s">
        <v>321</v>
      </c>
      <c r="M21" s="299" t="s">
        <v>319</v>
      </c>
      <c r="P21" s="372"/>
      <c r="Q21" s="372"/>
      <c r="R21" s="13"/>
      <c r="S21" s="372"/>
      <c r="T21" s="372"/>
      <c r="U21" s="13"/>
      <c r="V21" s="372"/>
      <c r="W21" s="372"/>
      <c r="X21" s="13"/>
    </row>
    <row r="22" spans="2:25" ht="12.75" customHeight="1">
      <c r="B22" s="283" t="s">
        <v>311</v>
      </c>
      <c r="C22" s="11" t="s">
        <v>317</v>
      </c>
      <c r="D22" s="11" t="s">
        <v>326</v>
      </c>
      <c r="E22" s="303">
        <f>SUM('Table 3.4-NonPARS Fwd Summary'!F5,'Table 3.4-NonPARS Fwd Summary'!F11)</f>
        <v>7369.6158945241914</v>
      </c>
      <c r="F22" s="264"/>
      <c r="G22" s="170"/>
      <c r="H22" s="303">
        <f>SUM('Table 3.7-NonPARS RTS Summary'!F5,'Table 3.7-NonPARS RTS Summary'!F11,'Table 3.7-NonPARS RTS Summary'!F17)</f>
        <v>14734.422062111298</v>
      </c>
      <c r="I22" s="264"/>
      <c r="J22" s="170"/>
      <c r="K22" s="303">
        <f>SUM('Table 3.10-NonPARS Wst Summary'!F5,'Table 3.10-NonPARS Wst Summary'!F10,'Table 3.10-NonPARS Wst Summary'!F15)</f>
        <v>69140.332230375134</v>
      </c>
      <c r="L22" s="264"/>
      <c r="M22" s="291"/>
      <c r="P22" s="81"/>
      <c r="S22" s="81"/>
      <c r="V22" s="81"/>
    </row>
    <row r="23" spans="2:25" ht="12.75" customHeight="1">
      <c r="B23" s="283" t="s">
        <v>313</v>
      </c>
      <c r="C23" s="11" t="s">
        <v>318</v>
      </c>
      <c r="D23" s="11" t="s">
        <v>342</v>
      </c>
      <c r="E23" s="304">
        <f>SUM('Table 3.4-NonPARS Fwd Summary'!F6:F7)</f>
        <v>4624.3337456267018</v>
      </c>
      <c r="G23" s="179"/>
      <c r="H23" s="304">
        <f>SUM('Table 3.7-NonPARS RTS Summary'!F6:F7,'Table 3.7-NonPARS RTS Summary'!F18)</f>
        <v>17151.681902972992</v>
      </c>
      <c r="J23" s="179"/>
      <c r="K23" s="304">
        <f>SUM('Table 3.10-NonPARS Wst Summary'!F6,'Table 3.10-NonPARS Wst Summary'!F16)</f>
        <v>29245.186623657562</v>
      </c>
      <c r="M23" s="278"/>
      <c r="P23" s="81"/>
      <c r="S23" s="81"/>
      <c r="V23" s="81"/>
    </row>
    <row r="24" spans="2:25" ht="12.75" customHeight="1">
      <c r="B24" s="283" t="s">
        <v>314</v>
      </c>
      <c r="C24" s="11" t="s">
        <v>318</v>
      </c>
      <c r="D24" s="11" t="s">
        <v>344</v>
      </c>
      <c r="E24" s="304">
        <f>SUM('Table 3.4-NonPARS Fwd Summary'!F12:F13)</f>
        <v>6597.6850594049729</v>
      </c>
      <c r="G24" s="179"/>
      <c r="H24" s="304">
        <f>SUM('Table 3.7-NonPARS RTS Summary'!F12:F13,'Table 3.7-NonPARS RTS Summary'!F19)</f>
        <v>22219.492663910369</v>
      </c>
      <c r="J24" s="179"/>
      <c r="K24" s="304">
        <f>SUM('Table 3.10-NonPARS Wst Summary'!F11,'Table 3.10-NonPARS Wst Summary'!F17)</f>
        <v>21974.769707794687</v>
      </c>
      <c r="M24" s="278"/>
      <c r="P24" s="81"/>
      <c r="S24" s="81"/>
      <c r="V24" s="81"/>
    </row>
    <row r="25" spans="2:25" ht="12.75" customHeight="1">
      <c r="B25" s="281" t="s">
        <v>330</v>
      </c>
      <c r="C25" s="11" t="s">
        <v>327</v>
      </c>
      <c r="D25" s="11" t="s">
        <v>325</v>
      </c>
      <c r="E25" s="304">
        <f>'Table 3.4-NonPARS Fwd Summary'!F17</f>
        <v>25880.033227555865</v>
      </c>
      <c r="G25" s="416"/>
      <c r="H25" s="304">
        <f>'Table 3.7-NonPARS RTS Summary'!F23</f>
        <v>75840.91835267689</v>
      </c>
      <c r="J25" s="416"/>
      <c r="K25" s="304">
        <v>0</v>
      </c>
      <c r="M25" s="278"/>
      <c r="O25" s="415"/>
      <c r="P25" s="81"/>
      <c r="R25" s="99"/>
      <c r="S25" s="81"/>
      <c r="U25" s="99"/>
      <c r="V25" s="81"/>
    </row>
    <row r="26" spans="2:25" ht="12.75" customHeight="1">
      <c r="B26" s="284" t="s">
        <v>331</v>
      </c>
      <c r="C26" s="238" t="s">
        <v>317</v>
      </c>
      <c r="D26" s="267" t="s">
        <v>166</v>
      </c>
      <c r="E26" s="305">
        <f>SUM('Table 3.4-NonPARS Fwd Summary'!F18:F21)</f>
        <v>9457.846909266169</v>
      </c>
      <c r="F26" s="204"/>
      <c r="G26" s="271"/>
      <c r="H26" s="305">
        <f>SUM('Table 3.7-NonPARS RTS Summary'!F24:F26)</f>
        <v>31437.564652301786</v>
      </c>
      <c r="I26" s="204"/>
      <c r="J26" s="271"/>
      <c r="K26" s="305">
        <v>0</v>
      </c>
      <c r="L26" s="204"/>
      <c r="M26" s="288"/>
      <c r="O26" s="81"/>
      <c r="P26" s="81"/>
      <c r="S26" s="81"/>
      <c r="V26" s="81"/>
    </row>
    <row r="27" spans="2:25" ht="12.75" customHeight="1" thickBot="1">
      <c r="B27" s="285"/>
      <c r="C27" s="286"/>
      <c r="D27" s="292" t="s">
        <v>272</v>
      </c>
      <c r="E27" s="309">
        <f>SUM(E22:E26)</f>
        <v>53929.514836377901</v>
      </c>
      <c r="F27" s="308">
        <f>'Table 3.4-NonPARS Fwd Summary'!B24</f>
        <v>50713.500681538826</v>
      </c>
      <c r="G27" s="300">
        <f>E27/F27</f>
        <v>1.0634153452555839</v>
      </c>
      <c r="H27" s="309">
        <f>SUM(H22:H26)</f>
        <v>161384.07963397334</v>
      </c>
      <c r="I27" s="308">
        <f>'Table 3.7-NonPARS RTS Summary'!B29</f>
        <v>106886.53018673116</v>
      </c>
      <c r="J27" s="300">
        <f>H27/I27</f>
        <v>1.5098635847944053</v>
      </c>
      <c r="K27" s="309">
        <f>SUM(K22:K26)</f>
        <v>120360.28856182739</v>
      </c>
      <c r="L27" s="308">
        <f>'Table 3.10-NonPARS Wst Summary'!B20</f>
        <v>1452394.8353793896</v>
      </c>
      <c r="M27" s="301">
        <f>K27/L27</f>
        <v>8.2870226215302739E-2</v>
      </c>
      <c r="O27" s="61"/>
      <c r="P27" s="29"/>
      <c r="Q27" s="24"/>
      <c r="R27" s="130"/>
      <c r="S27" s="29"/>
      <c r="T27" s="24"/>
      <c r="U27" s="130"/>
      <c r="V27" s="29"/>
      <c r="W27" s="24"/>
      <c r="X27" s="130"/>
      <c r="Y27" s="167"/>
    </row>
    <row r="28" spans="2:25" ht="5" customHeight="1" thickBot="1">
      <c r="B28" s="282"/>
      <c r="D28" s="242"/>
      <c r="E28" s="5"/>
      <c r="F28" s="260"/>
      <c r="G28" s="130"/>
      <c r="H28" s="5"/>
      <c r="I28" s="260"/>
      <c r="J28" s="130"/>
      <c r="K28" s="5"/>
      <c r="L28" s="260"/>
      <c r="M28" s="393"/>
      <c r="P28" s="5"/>
      <c r="Q28" s="260"/>
      <c r="R28" s="130"/>
      <c r="S28" s="5"/>
      <c r="T28" s="260"/>
      <c r="U28" s="130"/>
      <c r="V28" s="5"/>
      <c r="W28" s="260"/>
      <c r="X28" s="130"/>
    </row>
    <row r="29" spans="2:25" ht="15.75" customHeight="1">
      <c r="B29" s="274" t="s">
        <v>525</v>
      </c>
      <c r="C29" s="275"/>
      <c r="D29" s="275"/>
      <c r="E29" s="276"/>
      <c r="F29" s="276"/>
      <c r="G29" s="276"/>
      <c r="H29" s="276"/>
      <c r="I29" s="276"/>
      <c r="J29" s="276"/>
      <c r="K29" s="276"/>
      <c r="L29" s="276"/>
      <c r="M29" s="277"/>
    </row>
    <row r="30" spans="2:25" ht="12.75" customHeight="1">
      <c r="B30" s="325"/>
      <c r="C30" s="5"/>
      <c r="D30" s="5"/>
      <c r="E30" s="109" t="s">
        <v>343</v>
      </c>
      <c r="F30" s="295"/>
      <c r="G30" s="295"/>
      <c r="H30" s="295"/>
      <c r="I30" s="295"/>
      <c r="J30" s="295"/>
      <c r="K30" s="295"/>
      <c r="L30" s="295"/>
      <c r="M30" s="297"/>
      <c r="P30" s="15"/>
      <c r="Q30" s="77"/>
      <c r="R30" s="77"/>
      <c r="S30" s="77"/>
      <c r="T30" s="77"/>
      <c r="U30" s="77"/>
      <c r="V30" s="77"/>
      <c r="W30" s="77"/>
      <c r="X30" s="77"/>
    </row>
    <row r="31" spans="2:25" ht="12.75" customHeight="1">
      <c r="B31" s="279"/>
      <c r="C31" s="5"/>
      <c r="D31" s="5"/>
      <c r="E31" s="109" t="s">
        <v>273</v>
      </c>
      <c r="F31" s="295"/>
      <c r="G31" s="296"/>
      <c r="H31" s="109" t="s">
        <v>275</v>
      </c>
      <c r="I31" s="295"/>
      <c r="J31" s="296"/>
      <c r="K31" s="109" t="s">
        <v>274</v>
      </c>
      <c r="L31" s="295"/>
      <c r="M31" s="297"/>
      <c r="P31" s="15"/>
      <c r="Q31" s="77"/>
      <c r="R31" s="77"/>
      <c r="S31" s="15"/>
      <c r="T31" s="77"/>
      <c r="U31" s="77"/>
      <c r="V31" s="15"/>
      <c r="W31" s="77"/>
      <c r="X31" s="77"/>
    </row>
    <row r="32" spans="2:25" ht="12.75" customHeight="1">
      <c r="B32" s="279"/>
      <c r="C32" s="14"/>
      <c r="D32" s="14"/>
      <c r="E32" s="272" t="s">
        <v>319</v>
      </c>
      <c r="F32" s="293" t="s">
        <v>98</v>
      </c>
      <c r="G32" s="273" t="s">
        <v>324</v>
      </c>
      <c r="H32" s="272" t="s">
        <v>319</v>
      </c>
      <c r="I32" s="293" t="s">
        <v>98</v>
      </c>
      <c r="J32" s="273" t="s">
        <v>324</v>
      </c>
      <c r="K32" s="272" t="s">
        <v>319</v>
      </c>
      <c r="L32" s="293" t="s">
        <v>98</v>
      </c>
      <c r="M32" s="298" t="s">
        <v>324</v>
      </c>
      <c r="P32" s="13"/>
      <c r="Q32" s="13"/>
      <c r="R32" s="13"/>
      <c r="S32" s="13"/>
      <c r="T32" s="13"/>
      <c r="U32" s="13"/>
      <c r="V32" s="13"/>
      <c r="W32" s="13"/>
      <c r="X32" s="13"/>
    </row>
    <row r="33" spans="2:25" ht="12.75" customHeight="1">
      <c r="B33" s="280" t="s">
        <v>316</v>
      </c>
      <c r="C33" s="204" t="s">
        <v>312</v>
      </c>
      <c r="D33" s="204" t="s">
        <v>262</v>
      </c>
      <c r="E33" s="269" t="s">
        <v>320</v>
      </c>
      <c r="F33" s="268" t="s">
        <v>321</v>
      </c>
      <c r="G33" s="294" t="s">
        <v>319</v>
      </c>
      <c r="H33" s="269" t="s">
        <v>320</v>
      </c>
      <c r="I33" s="268" t="s">
        <v>321</v>
      </c>
      <c r="J33" s="294" t="s">
        <v>319</v>
      </c>
      <c r="K33" s="269" t="s">
        <v>320</v>
      </c>
      <c r="L33" s="268" t="s">
        <v>321</v>
      </c>
      <c r="M33" s="299" t="s">
        <v>319</v>
      </c>
      <c r="P33" s="372"/>
      <c r="Q33" s="372"/>
      <c r="R33" s="13"/>
      <c r="S33" s="372"/>
      <c r="T33" s="372"/>
      <c r="U33" s="13"/>
      <c r="V33" s="372"/>
      <c r="W33" s="372"/>
      <c r="X33" s="13"/>
    </row>
    <row r="34" spans="2:25" ht="12.75" customHeight="1">
      <c r="B34" s="283" t="s">
        <v>311</v>
      </c>
      <c r="C34" s="11" t="s">
        <v>317</v>
      </c>
      <c r="D34" s="11" t="s">
        <v>326</v>
      </c>
      <c r="E34" s="303">
        <f>E8+E22</f>
        <v>14399.983061850176</v>
      </c>
      <c r="F34" s="264"/>
      <c r="G34" s="170"/>
      <c r="H34" s="303">
        <f>H8+H22</f>
        <v>123710.93189041447</v>
      </c>
      <c r="I34" s="264"/>
      <c r="J34" s="170"/>
      <c r="K34" s="303">
        <f>K8+K22</f>
        <v>119946.43149452974</v>
      </c>
      <c r="L34" s="264"/>
      <c r="M34" s="291"/>
      <c r="P34" s="81"/>
      <c r="S34" s="81"/>
      <c r="V34" s="81"/>
    </row>
    <row r="35" spans="2:25" ht="12.75" customHeight="1">
      <c r="B35" s="283" t="s">
        <v>313</v>
      </c>
      <c r="C35" s="11" t="s">
        <v>318</v>
      </c>
      <c r="D35" s="11" t="s">
        <v>342</v>
      </c>
      <c r="E35" s="304">
        <f>E9+E23</f>
        <v>5087.6982599385492</v>
      </c>
      <c r="G35" s="179"/>
      <c r="H35" s="304">
        <f>H9+H23</f>
        <v>27168.225746674947</v>
      </c>
      <c r="J35" s="179"/>
      <c r="K35" s="304">
        <f>K9+K23</f>
        <v>32634.483679704805</v>
      </c>
      <c r="M35" s="278"/>
      <c r="P35" s="81"/>
      <c r="S35" s="81"/>
      <c r="V35" s="81"/>
    </row>
    <row r="36" spans="2:25" ht="12.75" customHeight="1">
      <c r="B36" s="283" t="s">
        <v>314</v>
      </c>
      <c r="C36" s="11" t="s">
        <v>318</v>
      </c>
      <c r="D36" s="11" t="s">
        <v>344</v>
      </c>
      <c r="E36" s="304">
        <f>E10+E24</f>
        <v>8458.9860625772999</v>
      </c>
      <c r="G36" s="179"/>
      <c r="H36" s="304">
        <f>H10+H24</f>
        <v>23268.079210740812</v>
      </c>
      <c r="J36" s="179"/>
      <c r="K36" s="304">
        <f>K10+K24</f>
        <v>22757.688630097775</v>
      </c>
      <c r="M36" s="278"/>
      <c r="P36" s="81"/>
      <c r="S36" s="81"/>
      <c r="V36" s="81"/>
    </row>
    <row r="37" spans="2:25" ht="12.75" customHeight="1">
      <c r="B37" s="281" t="s">
        <v>452</v>
      </c>
      <c r="C37" s="11" t="s">
        <v>327</v>
      </c>
      <c r="D37" s="12" t="s">
        <v>524</v>
      </c>
      <c r="E37" s="304">
        <f>E11</f>
        <v>18364.914154246697</v>
      </c>
      <c r="G37" s="179"/>
      <c r="H37" s="304">
        <f>H11</f>
        <v>30449.430601258897</v>
      </c>
      <c r="J37" s="179"/>
      <c r="K37" s="304">
        <f>K11</f>
        <v>30061.770155253918</v>
      </c>
      <c r="M37" s="278"/>
      <c r="O37" s="77"/>
      <c r="P37" s="81"/>
      <c r="S37" s="81"/>
      <c r="V37" s="81"/>
    </row>
    <row r="38" spans="2:25" ht="12.75" customHeight="1">
      <c r="B38" s="281" t="s">
        <v>523</v>
      </c>
      <c r="C38" s="11" t="s">
        <v>318</v>
      </c>
      <c r="D38" s="11" t="s">
        <v>41</v>
      </c>
      <c r="E38" s="304">
        <f>E12</f>
        <v>3047.9562212639239</v>
      </c>
      <c r="G38" s="179"/>
      <c r="H38" s="304">
        <f>H12</f>
        <v>15541.654026705821</v>
      </c>
      <c r="J38" s="179"/>
      <c r="K38" s="304">
        <f>K12</f>
        <v>6238.3219498488288</v>
      </c>
      <c r="M38" s="278"/>
      <c r="P38" s="81"/>
      <c r="S38" s="81"/>
      <c r="V38" s="81"/>
    </row>
    <row r="39" spans="2:25" ht="12.75" customHeight="1">
      <c r="B39" s="281" t="s">
        <v>330</v>
      </c>
      <c r="C39" s="11" t="s">
        <v>327</v>
      </c>
      <c r="D39" s="11" t="s">
        <v>325</v>
      </c>
      <c r="E39" s="304">
        <f>E13+E25</f>
        <v>84505.852082337326</v>
      </c>
      <c r="G39" s="416"/>
      <c r="H39" s="304">
        <f>H13+H25</f>
        <v>250097.00692345825</v>
      </c>
      <c r="J39" s="416"/>
      <c r="K39" s="304">
        <f>K13+K25</f>
        <v>0</v>
      </c>
      <c r="M39" s="278"/>
      <c r="O39" s="415"/>
      <c r="P39" s="81"/>
      <c r="R39" s="99"/>
      <c r="S39" s="81"/>
      <c r="U39" s="99"/>
      <c r="V39" s="81"/>
    </row>
    <row r="40" spans="2:25" ht="12.75" customHeight="1">
      <c r="B40" s="284" t="s">
        <v>331</v>
      </c>
      <c r="C40" s="238" t="s">
        <v>317</v>
      </c>
      <c r="D40" s="267" t="s">
        <v>166</v>
      </c>
      <c r="E40" s="305">
        <f>E14+E26</f>
        <v>9457.846909266169</v>
      </c>
      <c r="F40" s="204"/>
      <c r="G40" s="271"/>
      <c r="H40" s="305">
        <f>H14+H26</f>
        <v>35699.733267181866</v>
      </c>
      <c r="I40" s="204"/>
      <c r="J40" s="271"/>
      <c r="K40" s="305">
        <f>K14+K26</f>
        <v>0</v>
      </c>
      <c r="L40" s="204"/>
      <c r="M40" s="288"/>
      <c r="O40" s="81"/>
      <c r="P40" s="81"/>
      <c r="S40" s="81"/>
      <c r="V40" s="81"/>
    </row>
    <row r="41" spans="2:25" ht="12.75" customHeight="1" thickBot="1">
      <c r="B41" s="285"/>
      <c r="C41" s="286"/>
      <c r="D41" s="292" t="s">
        <v>272</v>
      </c>
      <c r="E41" s="309">
        <f>SUM(E34:E40)</f>
        <v>143323.23675148014</v>
      </c>
      <c r="F41" s="308">
        <f>F15+F27</f>
        <v>429021.78859666659</v>
      </c>
      <c r="G41" s="300">
        <f>E41/F41</f>
        <v>0.33406983179174071</v>
      </c>
      <c r="H41" s="309">
        <f>SUM(H34:H40)</f>
        <v>505935.06166643504</v>
      </c>
      <c r="I41" s="308">
        <f>I15+I27</f>
        <v>1231348.8202451766</v>
      </c>
      <c r="J41" s="300">
        <f>H41/I41</f>
        <v>0.41087874804289592</v>
      </c>
      <c r="K41" s="309">
        <f>SUM(K34:K40)</f>
        <v>211638.69590943505</v>
      </c>
      <c r="L41" s="308">
        <f>L15+L27</f>
        <v>2299076.0709429276</v>
      </c>
      <c r="M41" s="301">
        <f>K41/L41</f>
        <v>9.2053803083877506E-2</v>
      </c>
      <c r="O41" s="61"/>
      <c r="P41" s="29"/>
      <c r="Q41" s="24"/>
      <c r="R41" s="130"/>
      <c r="S41" s="29"/>
      <c r="T41" s="24"/>
      <c r="U41" s="130"/>
      <c r="V41" s="29"/>
      <c r="W41" s="24"/>
      <c r="X41" s="130"/>
      <c r="Y41" s="167"/>
    </row>
    <row r="42" spans="2:25" ht="5" customHeight="1">
      <c r="D42" s="242"/>
      <c r="E42" s="5"/>
      <c r="F42" s="260"/>
      <c r="G42" s="130"/>
      <c r="H42" s="5"/>
      <c r="I42" s="260"/>
      <c r="J42" s="130"/>
      <c r="K42" s="5"/>
      <c r="L42" s="260"/>
      <c r="M42" s="130"/>
      <c r="P42" s="5"/>
      <c r="Q42" s="260"/>
      <c r="R42" s="130"/>
      <c r="S42" s="5"/>
      <c r="T42" s="260"/>
      <c r="U42" s="130"/>
      <c r="V42" s="5"/>
      <c r="W42" s="260"/>
      <c r="X42" s="130"/>
    </row>
    <row r="43" spans="2:25" ht="12.75" customHeight="1" thickBot="1">
      <c r="D43" s="242"/>
      <c r="E43" s="5"/>
      <c r="F43" s="260"/>
      <c r="G43" s="130"/>
      <c r="H43" s="5"/>
      <c r="I43" s="260"/>
      <c r="J43" s="130"/>
      <c r="K43" s="5"/>
      <c r="L43" s="260"/>
      <c r="M43" s="130"/>
      <c r="P43" s="5"/>
      <c r="Q43" s="260"/>
      <c r="R43" s="130"/>
      <c r="S43" s="5"/>
      <c r="T43" s="260"/>
      <c r="U43" s="130"/>
      <c r="V43" s="5"/>
      <c r="W43" s="260"/>
      <c r="X43" s="130"/>
    </row>
    <row r="44" spans="2:25" ht="16">
      <c r="B44" s="274" t="s">
        <v>328</v>
      </c>
      <c r="C44" s="276"/>
      <c r="D44" s="276"/>
      <c r="E44" s="377" t="s">
        <v>526</v>
      </c>
      <c r="F44" s="378"/>
      <c r="G44" s="379"/>
      <c r="H44" s="377" t="s">
        <v>527</v>
      </c>
      <c r="I44" s="378"/>
      <c r="J44" s="379"/>
      <c r="K44" s="377" t="s">
        <v>97</v>
      </c>
      <c r="L44" s="380"/>
      <c r="M44" s="381"/>
      <c r="O44" s="420"/>
      <c r="P44" s="15"/>
      <c r="Q44" s="77"/>
      <c r="R44" s="77"/>
      <c r="S44" s="15"/>
      <c r="T44" s="77"/>
      <c r="U44" s="77"/>
      <c r="V44" s="15"/>
      <c r="W44" s="15"/>
      <c r="X44" s="15"/>
    </row>
    <row r="45" spans="2:25" ht="12.75" customHeight="1">
      <c r="B45" s="282"/>
      <c r="E45" s="272" t="s">
        <v>319</v>
      </c>
      <c r="F45" s="293" t="s">
        <v>98</v>
      </c>
      <c r="G45" s="273" t="s">
        <v>324</v>
      </c>
      <c r="H45" s="272" t="s">
        <v>319</v>
      </c>
      <c r="I45" s="293" t="s">
        <v>98</v>
      </c>
      <c r="J45" s="273" t="s">
        <v>324</v>
      </c>
      <c r="K45" s="272" t="s">
        <v>319</v>
      </c>
      <c r="L45" s="293" t="s">
        <v>98</v>
      </c>
      <c r="M45" s="298" t="s">
        <v>324</v>
      </c>
      <c r="N45" s="161"/>
      <c r="O45" s="13"/>
      <c r="P45" s="13"/>
      <c r="Q45" s="13"/>
      <c r="R45" s="13"/>
      <c r="S45" s="13"/>
      <c r="T45" s="13"/>
      <c r="U45" s="13"/>
      <c r="V45" s="13"/>
      <c r="W45" s="13"/>
      <c r="X45" s="13"/>
    </row>
    <row r="46" spans="2:25" ht="12.75" customHeight="1">
      <c r="B46" s="282"/>
      <c r="E46" s="373" t="s">
        <v>320</v>
      </c>
      <c r="F46" s="372" t="s">
        <v>321</v>
      </c>
      <c r="G46" s="361" t="s">
        <v>319</v>
      </c>
      <c r="H46" s="373" t="s">
        <v>320</v>
      </c>
      <c r="I46" s="372" t="s">
        <v>321</v>
      </c>
      <c r="J46" s="361" t="s">
        <v>319</v>
      </c>
      <c r="K46" s="373" t="s">
        <v>320</v>
      </c>
      <c r="L46" s="372" t="s">
        <v>321</v>
      </c>
      <c r="M46" s="382" t="s">
        <v>319</v>
      </c>
      <c r="N46" s="167"/>
      <c r="O46" s="13"/>
      <c r="P46" s="372"/>
      <c r="Q46" s="372"/>
      <c r="R46" s="13"/>
      <c r="S46" s="372"/>
      <c r="T46" s="372"/>
      <c r="U46" s="13"/>
      <c r="V46" s="372"/>
      <c r="W46" s="372"/>
      <c r="X46" s="13"/>
    </row>
    <row r="47" spans="2:25" ht="12.75" customHeight="1">
      <c r="B47" s="287" t="s">
        <v>560</v>
      </c>
      <c r="C47" s="204"/>
      <c r="D47" s="371" t="s">
        <v>272</v>
      </c>
      <c r="E47" s="305">
        <f>'Table 3.13-COA Costs'!L79</f>
        <v>71038.927096579981</v>
      </c>
      <c r="F47" s="10">
        <f>'Table 3.13-COA Costs'!D79</f>
        <v>25963.542000000001</v>
      </c>
      <c r="G47" s="357">
        <f>E47/F47</f>
        <v>2.7361030747106838</v>
      </c>
      <c r="H47" s="305">
        <v>0</v>
      </c>
      <c r="I47" s="10">
        <v>0</v>
      </c>
      <c r="J47" s="357">
        <v>0</v>
      </c>
      <c r="K47" s="305">
        <f>E47+H47</f>
        <v>71038.927096579981</v>
      </c>
      <c r="L47" s="10">
        <f>F47+I47</f>
        <v>25963.542000000001</v>
      </c>
      <c r="M47" s="383">
        <f>G47+J47</f>
        <v>2.7361030747106838</v>
      </c>
      <c r="O47" s="130"/>
      <c r="P47" s="81"/>
      <c r="Q47" s="6"/>
      <c r="R47" s="61"/>
      <c r="S47" s="81"/>
      <c r="T47" s="6"/>
      <c r="U47" s="61"/>
      <c r="V47" s="81"/>
      <c r="W47" s="6"/>
      <c r="X47" s="130"/>
      <c r="Y47" s="167"/>
    </row>
    <row r="48" spans="2:25" ht="5" customHeight="1">
      <c r="B48" s="282"/>
      <c r="E48" s="270"/>
      <c r="F48" s="264"/>
      <c r="G48" s="375"/>
      <c r="H48" s="270"/>
      <c r="I48" s="264"/>
      <c r="J48" s="170"/>
      <c r="K48" s="270"/>
      <c r="L48" s="264"/>
      <c r="M48" s="291"/>
      <c r="R48" s="4"/>
    </row>
    <row r="49" spans="2:25" ht="12.75" customHeight="1">
      <c r="B49" s="279" t="s">
        <v>761</v>
      </c>
      <c r="E49" s="266"/>
      <c r="G49" s="376"/>
      <c r="H49" s="266"/>
      <c r="J49" s="179"/>
      <c r="K49" s="266"/>
      <c r="M49" s="278"/>
      <c r="R49" s="4"/>
    </row>
    <row r="50" spans="2:25">
      <c r="B50" s="323" t="s">
        <v>762</v>
      </c>
      <c r="E50" s="304">
        <f>SUM('Table 3.25-REC Summary'!L8:L10)+'Table 3.19-CFS UAA'!J47</f>
        <v>3631.2820141731663</v>
      </c>
      <c r="F50" s="6">
        <f>SUM('Table 3.23-CIOSS Summary'!C8:C10)</f>
        <v>206221.91299999997</v>
      </c>
      <c r="G50" s="374">
        <f>E50/F50</f>
        <v>1.7608613756643635E-2</v>
      </c>
      <c r="H50" s="304">
        <f>'Table 3.19-CFS UAA'!J16</f>
        <v>12028.747917822762</v>
      </c>
      <c r="I50" s="6">
        <f>'Table 3.19-CFS UAA'!B16</f>
        <v>19942.507817869391</v>
      </c>
      <c r="J50" s="374">
        <f>H50/I50</f>
        <v>0.60317127753834743</v>
      </c>
      <c r="K50" s="304">
        <f t="shared" ref="K50:L52" si="0">E50+H50</f>
        <v>15660.029931995929</v>
      </c>
      <c r="L50" s="6">
        <f t="shared" si="0"/>
        <v>226164.42081786937</v>
      </c>
      <c r="M50" s="384">
        <f>K50/L50</f>
        <v>6.9241792654057555E-2</v>
      </c>
      <c r="O50" s="61"/>
      <c r="P50" s="81"/>
      <c r="Q50" s="6"/>
      <c r="R50" s="61"/>
      <c r="S50" s="81"/>
      <c r="T50" s="6"/>
      <c r="U50" s="61"/>
      <c r="V50" s="81"/>
      <c r="W50" s="6"/>
      <c r="X50" s="61"/>
    </row>
    <row r="51" spans="2:25">
      <c r="B51" s="323" t="s">
        <v>763</v>
      </c>
      <c r="E51" s="304">
        <f>SUM('Table 3.25-REC Summary'!L12:L13)+'Table 3.19-CFS UAA'!J60</f>
        <v>12819.107257902982</v>
      </c>
      <c r="F51" s="6">
        <f>SUM('Table 3.23-CIOSS Summary'!C12:C13)</f>
        <v>580243.90405001282</v>
      </c>
      <c r="G51" s="374">
        <f>E51/F51</f>
        <v>2.2092618584060243E-2</v>
      </c>
      <c r="H51" s="304">
        <f>'Table 3.19-CFS UAA'!J29</f>
        <v>14008.645525668757</v>
      </c>
      <c r="I51" s="6">
        <f>'Table 3.19-CFS UAA'!B29</f>
        <v>28934.500913609234</v>
      </c>
      <c r="J51" s="374">
        <f>H51/I51</f>
        <v>0.48415023875804414</v>
      </c>
      <c r="K51" s="304">
        <f t="shared" si="0"/>
        <v>26827.752783571741</v>
      </c>
      <c r="L51" s="6">
        <f t="shared" si="0"/>
        <v>609178.4049636221</v>
      </c>
      <c r="M51" s="384">
        <f>K51/L51</f>
        <v>4.4039238037621831E-2</v>
      </c>
      <c r="O51" s="61"/>
      <c r="P51" s="81"/>
      <c r="Q51" s="6"/>
      <c r="R51" s="61"/>
      <c r="S51" s="81"/>
      <c r="T51" s="6"/>
      <c r="U51" s="61"/>
      <c r="V51" s="81"/>
      <c r="W51" s="6"/>
      <c r="X51" s="61"/>
    </row>
    <row r="52" spans="2:25">
      <c r="B52" s="324" t="s">
        <v>764</v>
      </c>
      <c r="C52" s="204"/>
      <c r="D52" s="271"/>
      <c r="E52" s="305">
        <v>0</v>
      </c>
      <c r="F52" s="10">
        <f>SUM('Table 3.18-Nixie UAA'!D10:D11)+SUM('Table 3.24-CIOSS Detail'!E15:E16)</f>
        <v>580243.90405001282</v>
      </c>
      <c r="G52" s="357">
        <v>0</v>
      </c>
      <c r="H52" s="305">
        <f>SUM('Table 3.18-Nixie UAA'!I26:I27)</f>
        <v>12602.08110967898</v>
      </c>
      <c r="I52" s="10">
        <f>SUM('Table 3.18-Nixie UAA'!D26:D27)</f>
        <v>28934.500913609238</v>
      </c>
      <c r="J52" s="357">
        <f>H52/I52</f>
        <v>0.43553822294379502</v>
      </c>
      <c r="K52" s="305">
        <f t="shared" si="0"/>
        <v>12602.08110967898</v>
      </c>
      <c r="L52" s="10">
        <f t="shared" si="0"/>
        <v>609178.4049636221</v>
      </c>
      <c r="M52" s="391">
        <f>K52/L52</f>
        <v>2.0687012223342897E-2</v>
      </c>
      <c r="O52" s="61"/>
      <c r="P52" s="81"/>
      <c r="Q52" s="6"/>
      <c r="R52" s="61"/>
      <c r="S52" s="81"/>
      <c r="T52" s="6"/>
      <c r="U52" s="61"/>
      <c r="V52" s="81"/>
      <c r="W52" s="6"/>
      <c r="X52" s="61"/>
    </row>
    <row r="53" spans="2:25">
      <c r="B53" s="282"/>
      <c r="D53" s="242" t="s">
        <v>272</v>
      </c>
      <c r="E53" s="310">
        <f>SUM(E50:E52)</f>
        <v>16450.389272076151</v>
      </c>
      <c r="F53" s="203">
        <f>SUM(F50:F51)</f>
        <v>786465.81705001276</v>
      </c>
      <c r="G53" s="357">
        <f>E53/F53</f>
        <v>2.0916852220965683E-2</v>
      </c>
      <c r="H53" s="310">
        <f>SUM(H50:H52)</f>
        <v>38639.474553170498</v>
      </c>
      <c r="I53" s="203">
        <f>SUM(I50:I51)</f>
        <v>48877.008731478621</v>
      </c>
      <c r="J53" s="357">
        <f>H53/I53</f>
        <v>0.79054499356637653</v>
      </c>
      <c r="K53" s="305">
        <f>SUM(K50:K52)</f>
        <v>55089.863825246648</v>
      </c>
      <c r="L53" s="10">
        <f>SUM(L50:L51)</f>
        <v>835342.82578149147</v>
      </c>
      <c r="M53" s="383">
        <f>K53/L53</f>
        <v>6.5948808231767853E-2</v>
      </c>
      <c r="O53" s="130"/>
      <c r="P53" s="29"/>
      <c r="Q53" s="24"/>
      <c r="R53" s="61"/>
      <c r="S53" s="29"/>
      <c r="T53" s="24"/>
      <c r="U53" s="61"/>
      <c r="V53" s="81"/>
      <c r="W53" s="6"/>
      <c r="X53" s="130"/>
      <c r="Y53" s="167"/>
    </row>
    <row r="54" spans="2:25" ht="5" customHeight="1">
      <c r="B54" s="306"/>
      <c r="C54" s="264"/>
      <c r="D54" s="264"/>
      <c r="E54" s="270"/>
      <c r="F54" s="264"/>
      <c r="G54" s="170"/>
      <c r="H54" s="270"/>
      <c r="I54" s="264"/>
      <c r="J54" s="170"/>
      <c r="K54" s="270"/>
      <c r="L54" s="264"/>
      <c r="M54" s="291"/>
    </row>
    <row r="55" spans="2:25">
      <c r="B55" s="279" t="s">
        <v>765</v>
      </c>
      <c r="E55" s="266"/>
      <c r="G55" s="179"/>
      <c r="H55" s="266"/>
      <c r="J55" s="179"/>
      <c r="K55" s="266"/>
      <c r="M55" s="278"/>
    </row>
    <row r="56" spans="2:25">
      <c r="B56" s="289" t="s">
        <v>322</v>
      </c>
      <c r="E56" s="304">
        <f>F56*G56</f>
        <v>21826.328393345135</v>
      </c>
      <c r="F56" s="6">
        <f>SUM('Table 3.11-Form3547 Costs'!H6,'Table 3.11-Form3547 Costs'!H13,'Table 3.11-Form3547 Costs'!H19)</f>
        <v>29888.549577742946</v>
      </c>
      <c r="G56" s="374">
        <f>'Table 3.11-Form3547 Costs'!P21</f>
        <v>0.73025719553813706</v>
      </c>
      <c r="H56" s="304">
        <f>I56*J56</f>
        <v>27359.057275792835</v>
      </c>
      <c r="I56" s="6">
        <f>SUM('Table 3.11-Form3547 Costs'!H28:H29,'Table 3.11-Form3547 Costs'!H36:H37,'Table 3.11-Form3547 Costs'!H43)</f>
        <v>16249.655204107417</v>
      </c>
      <c r="J56" s="374">
        <f>'Table 3.11-Form3547 Costs'!P45</f>
        <v>1.6836700183569002</v>
      </c>
      <c r="K56" s="304">
        <f>E56+H56</f>
        <v>49185.38566913797</v>
      </c>
      <c r="L56" s="6">
        <f>F56+I56</f>
        <v>46138.204781850363</v>
      </c>
      <c r="M56" s="384">
        <f>K56/L56</f>
        <v>1.0660446348464405</v>
      </c>
      <c r="O56" s="61"/>
      <c r="P56" s="81"/>
      <c r="Q56" s="6"/>
      <c r="R56" s="61"/>
      <c r="S56" s="81"/>
      <c r="T56" s="6"/>
      <c r="U56" s="61"/>
      <c r="V56" s="81"/>
      <c r="W56" s="6"/>
      <c r="X56" s="61"/>
    </row>
    <row r="57" spans="2:25">
      <c r="B57" s="290" t="s">
        <v>323</v>
      </c>
      <c r="C57" s="204"/>
      <c r="D57" s="271"/>
      <c r="E57" s="305">
        <v>0</v>
      </c>
      <c r="F57" s="10">
        <v>0</v>
      </c>
      <c r="G57" s="357">
        <v>0</v>
      </c>
      <c r="H57" s="305">
        <f>I57*J57</f>
        <v>12051.980900362327</v>
      </c>
      <c r="I57" s="10">
        <f>SUM('Table 3.12-Form3579 Costs'!H7:H8)</f>
        <v>9259.7881978191799</v>
      </c>
      <c r="J57" s="357">
        <f>'Table 3.12-Form3579 Costs'!P12</f>
        <v>1.301539586315889</v>
      </c>
      <c r="K57" s="305">
        <f>E57+H57</f>
        <v>12051.980900362327</v>
      </c>
      <c r="L57" s="10">
        <f>F57+I57</f>
        <v>9259.7881978191799</v>
      </c>
      <c r="M57" s="391">
        <f>K57/L57</f>
        <v>1.301539586315889</v>
      </c>
      <c r="O57" s="61"/>
      <c r="P57" s="81"/>
      <c r="Q57" s="6"/>
      <c r="R57" s="61"/>
      <c r="S57" s="81"/>
      <c r="T57" s="6"/>
      <c r="U57" s="61"/>
      <c r="V57" s="81"/>
      <c r="W57" s="6"/>
      <c r="X57" s="61"/>
    </row>
    <row r="58" spans="2:25" ht="14" thickBot="1">
      <c r="B58" s="285"/>
      <c r="C58" s="286"/>
      <c r="D58" s="292" t="s">
        <v>272</v>
      </c>
      <c r="E58" s="385">
        <f>SUM(E56:E57)</f>
        <v>21826.328393345135</v>
      </c>
      <c r="F58" s="386">
        <f>SUM(F56:F57)</f>
        <v>29888.549577742946</v>
      </c>
      <c r="G58" s="387">
        <f>E58/F58</f>
        <v>0.73025719553813706</v>
      </c>
      <c r="H58" s="385">
        <f>SUM(H56:H57)</f>
        <v>39411.038176155162</v>
      </c>
      <c r="I58" s="386">
        <f>SUM(I56:I57)</f>
        <v>25509.443401926597</v>
      </c>
      <c r="J58" s="387">
        <f>H58/I58</f>
        <v>1.5449587650814305</v>
      </c>
      <c r="K58" s="388">
        <f>SUM(K56:K57)</f>
        <v>61237.3665695003</v>
      </c>
      <c r="L58" s="389">
        <f>SUM(L56:L57)</f>
        <v>55397.992979669543</v>
      </c>
      <c r="M58" s="390">
        <f>K58/L58</f>
        <v>1.1054076741006438</v>
      </c>
      <c r="O58" s="130"/>
      <c r="P58" s="29"/>
      <c r="Q58" s="24"/>
      <c r="R58" s="61"/>
      <c r="S58" s="29"/>
      <c r="T58" s="24"/>
      <c r="U58" s="61"/>
      <c r="V58" s="81"/>
      <c r="W58" s="6"/>
      <c r="X58" s="130"/>
      <c r="Y58" s="167"/>
    </row>
    <row r="59" spans="2:25" ht="5" customHeight="1" thickBot="1"/>
    <row r="60" spans="2:25" ht="12.75" customHeight="1" thickBot="1">
      <c r="C60" s="394"/>
      <c r="D60" s="395" t="s">
        <v>531</v>
      </c>
      <c r="E60" s="396">
        <f>SUM(E15,H15,K15)+SUM(E47,E53,E58)</f>
        <v>634538.7560571729</v>
      </c>
      <c r="F60" s="397"/>
      <c r="G60" s="397"/>
      <c r="H60" s="396">
        <f>SUM(E27,H27,K27)+SUM(H47,H53,H58)</f>
        <v>413724.3957615043</v>
      </c>
      <c r="I60" s="397"/>
      <c r="J60" s="397"/>
      <c r="K60" s="396">
        <f>E60+H60</f>
        <v>1048263.1518186772</v>
      </c>
      <c r="L60" s="397"/>
      <c r="M60" s="398"/>
      <c r="O60" s="415"/>
      <c r="P60" s="29"/>
      <c r="S60" s="29"/>
      <c r="V60" s="29"/>
      <c r="Y60" s="167"/>
    </row>
    <row r="61" spans="2:25" ht="12.75" hidden="1" customHeight="1">
      <c r="D61" s="242"/>
      <c r="E61" s="24"/>
      <c r="F61" s="6"/>
      <c r="G61" s="6"/>
      <c r="H61" s="6"/>
      <c r="I61" s="6"/>
      <c r="J61" s="6"/>
      <c r="K61" s="6"/>
      <c r="L61" s="6"/>
    </row>
    <row r="62" spans="2:25" hidden="1">
      <c r="D62" s="242"/>
      <c r="E62" s="29"/>
    </row>
    <row r="63" spans="2:25" hidden="1">
      <c r="D63" s="243" t="s">
        <v>186</v>
      </c>
      <c r="E63" s="102">
        <f>E15-'Table 3.3-PARS Fwd Summary'!F29</f>
        <v>0</v>
      </c>
      <c r="F63" s="102">
        <f>F15-'Table 3.3-PARS Fwd Summary'!B29</f>
        <v>0</v>
      </c>
      <c r="G63" s="257"/>
      <c r="H63" s="102">
        <f>H15-'Table 3.6-PARS RTS Summary'!F68</f>
        <v>0</v>
      </c>
      <c r="I63" s="102">
        <f>I15-'Table 3.6-PARS RTS Summary'!B68</f>
        <v>0</v>
      </c>
      <c r="J63" s="257"/>
      <c r="K63" s="102">
        <f>K15-'Table 3.9-PARS Wst Summary'!F48</f>
        <v>0</v>
      </c>
      <c r="L63" s="102">
        <f>L15-'Table 3.9-PARS Wst Summary'!B48</f>
        <v>0</v>
      </c>
      <c r="M63" s="257"/>
    </row>
    <row r="64" spans="2:25" hidden="1">
      <c r="D64" s="243"/>
      <c r="E64" s="102">
        <f>E27-'Table 3.4-NonPARS Fwd Summary'!F24</f>
        <v>0</v>
      </c>
      <c r="F64" s="102">
        <f>F27-'Table 3.4-NonPARS Fwd Summary'!B24</f>
        <v>0</v>
      </c>
      <c r="G64" s="257"/>
      <c r="H64" s="102">
        <f>H27-'Table 3.7-NonPARS RTS Summary'!F29</f>
        <v>0</v>
      </c>
      <c r="I64" s="102">
        <f>I27-'Table 3.7-NonPARS RTS Summary'!B29</f>
        <v>0</v>
      </c>
      <c r="J64" s="257"/>
      <c r="K64" s="102">
        <f>K27-'Table 3.10-NonPARS Wst Summary'!F20</f>
        <v>0</v>
      </c>
      <c r="L64" s="102">
        <f>L27-'Table 3.10-NonPARS Wst Summary'!B20</f>
        <v>0</v>
      </c>
      <c r="M64" s="257"/>
    </row>
    <row r="65" spans="2:16" hidden="1">
      <c r="D65" s="20"/>
      <c r="E65" s="102">
        <v>0</v>
      </c>
      <c r="F65" s="102">
        <v>0</v>
      </c>
      <c r="G65" s="102">
        <v>0</v>
      </c>
      <c r="H65" s="102">
        <f>G47-'Table 3.13-COA Costs'!N79</f>
        <v>0</v>
      </c>
      <c r="I65" s="102">
        <f>G50-'Table 3.43-Elec Notice'!L15</f>
        <v>0</v>
      </c>
      <c r="J65" s="102">
        <f>J50-'Table 3.43-Elec Notice'!R15</f>
        <v>0</v>
      </c>
      <c r="K65" s="102">
        <f>M50-'Table 3.43-Elec Notice'!F15</f>
        <v>0</v>
      </c>
      <c r="L65" s="102">
        <f>G51-'Table 3.43-Elec Notice'!L27</f>
        <v>0</v>
      </c>
      <c r="M65" s="102">
        <f>SUM(H51:H52)/I51-'Table 3.43-Elec Notice'!R27</f>
        <v>0</v>
      </c>
      <c r="N65" s="102">
        <f>SUM(K51:K52)/L51-'Table 3.43-Elec Notice'!F27</f>
        <v>0</v>
      </c>
    </row>
    <row r="66" spans="2:16" hidden="1">
      <c r="D66" s="20"/>
      <c r="E66" s="257"/>
      <c r="F66" s="257"/>
      <c r="G66" s="257"/>
      <c r="H66" s="102">
        <f>M56-'Table 3.41-Man Notice'!F25</f>
        <v>0</v>
      </c>
      <c r="I66" s="102">
        <f>M57-'Table 3.41-Man Notice'!F33</f>
        <v>0</v>
      </c>
      <c r="J66" s="102">
        <f>M58-'Table 3.41-Man Notice'!F35</f>
        <v>0</v>
      </c>
      <c r="L66" s="257"/>
      <c r="M66" s="257"/>
    </row>
    <row r="67" spans="2:16" hidden="1">
      <c r="D67" s="20"/>
      <c r="E67" s="257"/>
      <c r="F67" s="257"/>
      <c r="G67" s="257"/>
      <c r="H67" s="257"/>
      <c r="I67" s="257"/>
      <c r="J67" s="257"/>
      <c r="K67" s="257"/>
      <c r="L67" s="257"/>
      <c r="M67" s="257"/>
    </row>
    <row r="68" spans="2:16" hidden="1">
      <c r="D68" s="20"/>
      <c r="E68" s="257"/>
      <c r="F68" s="257"/>
      <c r="G68" s="257"/>
      <c r="H68" s="257"/>
      <c r="I68" s="257"/>
      <c r="J68" s="257"/>
      <c r="K68" s="257"/>
      <c r="L68" s="257"/>
      <c r="M68" s="257"/>
    </row>
    <row r="69" spans="2:16" hidden="1">
      <c r="G69" s="20" t="s">
        <v>346</v>
      </c>
      <c r="H69" s="6">
        <f>SUM('Table 3.2-Total Fwd Summary'!F34,'Table 3.5-Total RTS Summary'!F38,'Table 3.8-Total Wst Summary'!F19)</f>
        <v>860896.99432735029</v>
      </c>
      <c r="I69" s="6">
        <f>SUM(E41,H41,K41)</f>
        <v>860896.99432735017</v>
      </c>
      <c r="J69" s="102">
        <f t="shared" ref="J69:J74" si="1">H69-I69</f>
        <v>0</v>
      </c>
      <c r="K69" s="257"/>
      <c r="L69" s="257"/>
      <c r="M69" s="365" t="s">
        <v>306</v>
      </c>
      <c r="N69" s="6">
        <f>SUM('Table 3.14-Route UAA'!J103,'Table 3.14-Route UAA'!J109,'Table 3.14-Route UAA'!J111)</f>
        <v>258057.34644679446</v>
      </c>
      <c r="O69" s="6">
        <f t="shared" ref="O69:O75" si="2">E34+H34+K34</f>
        <v>258057.3464467944</v>
      </c>
      <c r="P69" s="257"/>
    </row>
    <row r="70" spans="2:16" hidden="1">
      <c r="G70" s="20" t="s">
        <v>347</v>
      </c>
      <c r="H70" s="6">
        <f>'Table 3.13-COA Costs'!D79*'Table 3.13-COA Costs'!N79</f>
        <v>71038.927096579981</v>
      </c>
      <c r="I70" s="6">
        <f>K47</f>
        <v>71038.927096579981</v>
      </c>
      <c r="J70" s="102">
        <f t="shared" si="1"/>
        <v>0</v>
      </c>
      <c r="K70" s="257"/>
      <c r="L70" s="257"/>
      <c r="M70" s="36" t="s">
        <v>307</v>
      </c>
      <c r="N70" s="6">
        <f>'Table 3.18-Nixie UAA'!I40+'Table 3.31-Rating Post Due'!H27-SUM('Table 3.18-Nixie UAA'!I26:I27)</f>
        <v>64890.407686318285</v>
      </c>
      <c r="O70" s="6">
        <f t="shared" si="2"/>
        <v>64890.4076863183</v>
      </c>
      <c r="P70" s="257"/>
    </row>
    <row r="71" spans="2:16" hidden="1">
      <c r="G71" s="243" t="s">
        <v>767</v>
      </c>
      <c r="H71" s="6">
        <f>SUM('Table 3.27-REC Detail ACS'!K49:K50)+SUM('Table 3.19-CFS UAA'!J16,'Table 3.19-CFS UAA'!J29,'Table 3.19-CFS UAA'!J47,'Table 3.19-CFS UAA'!J60)+SUM('Table 3.18-Nixie UAA'!I26:I27)</f>
        <v>55089.863825246648</v>
      </c>
      <c r="I71" s="6">
        <f>K53</f>
        <v>55089.863825246648</v>
      </c>
      <c r="J71" s="102">
        <f t="shared" si="1"/>
        <v>0</v>
      </c>
      <c r="K71" s="257"/>
      <c r="L71" s="257"/>
      <c r="M71" s="36" t="s">
        <v>308</v>
      </c>
      <c r="N71" s="6">
        <f>SUM('Table 3.19-CFS UAA'!J77,'Table 3.19-CFS UAA'!J90)+SUM('Table 3.20-CFS Non-CIOSS'!H45,'Table 3.20-CFS Non-CIOSS'!H50,'Table 3.20-CFS Non-CIOSS'!H56,'Table 3.20-CFS Non-CIOSS'!H61)</f>
        <v>54484.753903415884</v>
      </c>
      <c r="O71" s="6">
        <f t="shared" si="2"/>
        <v>54484.753903415884</v>
      </c>
      <c r="P71" s="257"/>
    </row>
    <row r="72" spans="2:16" hidden="1">
      <c r="G72" s="20" t="s">
        <v>348</v>
      </c>
      <c r="H72" s="6">
        <f>SUM('Table 3.11-Form3547 Costs'!H6,'Table 3.11-Form3547 Costs'!H13,'Table 3.11-Form3547 Costs'!H19)*'Table 3.11-Form3547 Costs'!P21+SUM('Table 3.11-Form3547 Costs'!H28:H29,'Table 3.11-Form3547 Costs'!H36:H37,'Table 3.11-Form3547 Costs'!H43)*'Table 3.11-Form3547 Costs'!P45+SUM('Table 3.12-Form3579 Costs'!H7:H8)*'Table 3.12-Form3579 Costs'!P12</f>
        <v>61237.3665695003</v>
      </c>
      <c r="I72" s="6">
        <f>K58</f>
        <v>61237.3665695003</v>
      </c>
      <c r="J72" s="102">
        <f t="shared" si="1"/>
        <v>0</v>
      </c>
      <c r="K72" s="257"/>
      <c r="L72" s="257"/>
      <c r="M72" s="365" t="s">
        <v>495</v>
      </c>
      <c r="N72" s="6">
        <f>'Table 3.23-CIOSS Summary'!I14</f>
        <v>78876.114910759512</v>
      </c>
      <c r="O72" s="6">
        <f t="shared" si="2"/>
        <v>78876.114910759512</v>
      </c>
      <c r="P72" s="257"/>
    </row>
    <row r="73" spans="2:16" hidden="1">
      <c r="G73" s="20" t="s">
        <v>349</v>
      </c>
      <c r="H73" s="6"/>
      <c r="I73" s="6"/>
      <c r="J73" s="102">
        <f t="shared" si="1"/>
        <v>0</v>
      </c>
      <c r="K73" s="257"/>
      <c r="L73" s="257"/>
      <c r="M73" s="365" t="s">
        <v>496</v>
      </c>
      <c r="N73" s="6">
        <f>SUM('Table 3.25-REC Summary'!K14:K14)</f>
        <v>24827.932197818573</v>
      </c>
      <c r="O73" s="6">
        <f t="shared" si="2"/>
        <v>24827.932197818573</v>
      </c>
      <c r="P73" s="257"/>
    </row>
    <row r="74" spans="2:16" hidden="1">
      <c r="G74" s="20"/>
      <c r="H74" s="6">
        <f>SUM(H69:H73)</f>
        <v>1048263.1518186772</v>
      </c>
      <c r="I74" s="6">
        <f>SUM(I69:I73)</f>
        <v>1048263.1518186772</v>
      </c>
      <c r="J74" s="102">
        <f t="shared" si="1"/>
        <v>0</v>
      </c>
      <c r="K74" s="257"/>
      <c r="L74" s="257"/>
      <c r="M74" s="36" t="s">
        <v>511</v>
      </c>
      <c r="N74" s="6">
        <f>SUMPRODUCT('Table 3.29-UAA MP Units'!G6:G7,'Table 3.29-UAA MP Units'!G27:G28)</f>
        <v>334602.85900579556</v>
      </c>
      <c r="O74" s="6">
        <f t="shared" si="2"/>
        <v>334602.85900579556</v>
      </c>
      <c r="P74" s="257"/>
    </row>
    <row r="75" spans="2:16" hidden="1">
      <c r="G75" s="20"/>
      <c r="H75" s="81"/>
      <c r="I75" s="81"/>
      <c r="J75" s="81"/>
      <c r="K75" s="257"/>
      <c r="L75" s="257"/>
      <c r="M75" s="36" t="s">
        <v>310</v>
      </c>
      <c r="N75" s="6">
        <f>SUM('Table 3.32-Accounting Post Due'!D4:D11)*'Table 3.32-Accounting Post Due'!F4+SUM('Table 3.33-Delivery Post Due'!D5:D18)*'Table 3.33-Delivery Post Due'!F5+SUM('Table 3.34-Window Post Due'!D4:D11)*'Table 3.34-Window Post Due'!F4+'Table 3.36-Process Form 3546'!B4*'Table 3.36-Process Form 3546'!J17</f>
        <v>45157.580176448035</v>
      </c>
      <c r="O75" s="6">
        <f t="shared" si="2"/>
        <v>45157.580176448035</v>
      </c>
      <c r="P75" s="257"/>
    </row>
    <row r="76" spans="2:16" hidden="1">
      <c r="G76" s="20"/>
      <c r="H76" s="81"/>
      <c r="I76" s="81"/>
      <c r="J76" s="81"/>
      <c r="K76" s="257"/>
      <c r="L76" s="257"/>
      <c r="M76" s="36" t="s">
        <v>309</v>
      </c>
      <c r="N76" s="6">
        <f>SUM(N69:N75)</f>
        <v>860896.99432735029</v>
      </c>
      <c r="O76" s="6">
        <f>SUM(O69:O75)</f>
        <v>860896.99432735029</v>
      </c>
      <c r="P76" s="257"/>
    </row>
    <row r="77" spans="2:16">
      <c r="B77" s="204"/>
      <c r="C77" s="204"/>
      <c r="D77" s="204"/>
      <c r="E77" s="239"/>
      <c r="F77" s="239"/>
      <c r="G77" s="204"/>
      <c r="H77" s="204"/>
      <c r="I77" s="204"/>
      <c r="J77" s="204"/>
      <c r="K77" s="204"/>
    </row>
    <row r="78" spans="2:16">
      <c r="B78" t="s">
        <v>230</v>
      </c>
      <c r="P78" s="422"/>
    </row>
    <row r="79" spans="2:16">
      <c r="B79" s="11" t="s">
        <v>561</v>
      </c>
      <c r="G79" s="11" t="s">
        <v>23</v>
      </c>
    </row>
    <row r="80" spans="2:16">
      <c r="B80" s="11" t="s">
        <v>562</v>
      </c>
      <c r="G80" s="11" t="s">
        <v>566</v>
      </c>
    </row>
    <row r="81" spans="2:7">
      <c r="B81" s="11" t="s">
        <v>563</v>
      </c>
      <c r="G81" s="11" t="s">
        <v>24</v>
      </c>
    </row>
    <row r="82" spans="2:7">
      <c r="B82" s="12" t="s">
        <v>769</v>
      </c>
      <c r="G82" s="11" t="s">
        <v>25</v>
      </c>
    </row>
    <row r="83" spans="2:7">
      <c r="B83" s="11" t="s">
        <v>770</v>
      </c>
      <c r="G83" s="11" t="s">
        <v>610</v>
      </c>
    </row>
    <row r="84" spans="2:7">
      <c r="B84" s="11" t="s">
        <v>564</v>
      </c>
      <c r="G84" s="11" t="s">
        <v>42</v>
      </c>
    </row>
    <row r="85" spans="2:7">
      <c r="B85" s="11" t="s">
        <v>565</v>
      </c>
    </row>
  </sheetData>
  <phoneticPr fontId="5" type="noConversion"/>
  <printOptions horizontalCentered="1"/>
  <pageMargins left="0.75" right="0.75" top="1" bottom="1" header="0.5" footer="0.5"/>
  <pageSetup scale="55" orientation="landscape" r:id="rId1"/>
  <headerFooter alignWithMargins="0">
    <oddFooter>&amp;L&amp;F</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K51"/>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0" s="12" customFormat="1" ht="16">
      <c r="A1" s="117" t="s">
        <v>540</v>
      </c>
      <c r="B1" s="16"/>
      <c r="C1" s="16"/>
      <c r="D1" s="16"/>
      <c r="E1" s="16"/>
      <c r="F1" s="16"/>
      <c r="G1" s="16"/>
      <c r="H1" s="16"/>
      <c r="I1" s="16"/>
      <c r="J1" s="16"/>
    </row>
    <row r="2" spans="1:10" s="12" customFormat="1" ht="16">
      <c r="A2" s="117" t="s">
        <v>780</v>
      </c>
      <c r="B2" s="16"/>
      <c r="C2" s="16"/>
      <c r="D2" s="16"/>
      <c r="E2" s="16"/>
      <c r="F2" s="16"/>
      <c r="G2" s="16"/>
      <c r="H2" s="16"/>
      <c r="I2" s="16"/>
      <c r="J2" s="16"/>
    </row>
    <row r="3" spans="1:10" ht="28">
      <c r="B3" s="125" t="s">
        <v>104</v>
      </c>
      <c r="C3" s="125"/>
      <c r="D3" s="126" t="s">
        <v>99</v>
      </c>
      <c r="E3" s="126"/>
      <c r="F3" s="125" t="s">
        <v>105</v>
      </c>
      <c r="G3" s="125"/>
      <c r="H3" s="127" t="s">
        <v>92</v>
      </c>
      <c r="I3" s="127"/>
      <c r="J3" s="128" t="s">
        <v>100</v>
      </c>
    </row>
    <row r="4" spans="1:10" ht="12.75" customHeight="1">
      <c r="A4" s="14"/>
    </row>
    <row r="5" spans="1:10" ht="12.75" customHeight="1">
      <c r="A5" s="14" t="s">
        <v>567</v>
      </c>
      <c r="B5" s="6"/>
      <c r="D5" s="61"/>
      <c r="F5" s="108"/>
    </row>
    <row r="6" spans="1:10" ht="12.75" customHeight="1">
      <c r="A6" s="258" t="s">
        <v>517</v>
      </c>
      <c r="B6" s="6">
        <f>'Table 3.3-PARS Fwd Summary'!B10</f>
        <v>317286.8884814764</v>
      </c>
      <c r="C6" s="11"/>
      <c r="D6" s="61">
        <f>F6/B6</f>
        <v>6.0304277513484765E-2</v>
      </c>
      <c r="F6" s="81">
        <f>'Table 3.3-PARS Fwd Summary'!F10</f>
        <v>19133.756574377046</v>
      </c>
      <c r="G6" s="11"/>
      <c r="H6" s="99">
        <f>B6/$B$34</f>
        <v>0.73955891498966553</v>
      </c>
      <c r="J6" s="19">
        <f>D6*H6</f>
        <v>4.4598566047108476E-2</v>
      </c>
    </row>
    <row r="7" spans="1:10" ht="12.75" customHeight="1">
      <c r="A7" s="258" t="s">
        <v>518</v>
      </c>
      <c r="B7" s="6">
        <f>'Table 3.3-PARS Fwd Summary'!B20</f>
        <v>61021.399433651379</v>
      </c>
      <c r="C7" s="11"/>
      <c r="D7" s="61">
        <f>F7/B7</f>
        <v>0.1906568284883986</v>
      </c>
      <c r="F7" s="81">
        <f>'Table 3.3-PARS Fwd Summary'!F20</f>
        <v>11634.146485943735</v>
      </c>
      <c r="G7" s="11"/>
      <c r="H7" s="99">
        <f>B7/$B$34</f>
        <v>0.14223380037002975</v>
      </c>
      <c r="J7" s="19">
        <f>D7*H7</f>
        <v>2.7117845282401888E-2</v>
      </c>
    </row>
    <row r="8" spans="1:10" ht="12.75" customHeight="1">
      <c r="A8" s="258" t="s">
        <v>97</v>
      </c>
      <c r="B8" s="6">
        <f>SUM(B6:B7)</f>
        <v>378308.28791512776</v>
      </c>
      <c r="D8" s="61">
        <f>F8/B8</f>
        <v>8.1330237912269732E-2</v>
      </c>
      <c r="F8" s="81">
        <f>SUM(F6:F7)</f>
        <v>30767.903060320779</v>
      </c>
      <c r="H8" s="99">
        <f>B8/$B$34</f>
        <v>0.88179271535969517</v>
      </c>
      <c r="J8" s="19">
        <f>SUM(J6:J7)</f>
        <v>7.1716411329510371E-2</v>
      </c>
    </row>
    <row r="9" spans="1:10" ht="5" customHeight="1">
      <c r="A9" s="258"/>
      <c r="B9" s="6"/>
      <c r="F9" s="81"/>
      <c r="H9" s="104"/>
      <c r="J9" s="19"/>
    </row>
    <row r="10" spans="1:10" ht="12.75" customHeight="1">
      <c r="A10" s="258" t="s">
        <v>510</v>
      </c>
      <c r="B10" s="6"/>
      <c r="F10" s="81"/>
      <c r="H10" s="104"/>
      <c r="J10" s="19"/>
    </row>
    <row r="11" spans="1:10" ht="12.75" customHeight="1">
      <c r="A11" s="367" t="s">
        <v>315</v>
      </c>
      <c r="B11" s="6">
        <f>'Table 3.3-PARS Fwd Summary'!B23</f>
        <v>378308.28791512776</v>
      </c>
      <c r="C11" s="11"/>
      <c r="D11" s="61">
        <f>F11/B11</f>
        <v>0.15496837031477875</v>
      </c>
      <c r="F11" s="81">
        <f>'Table 3.3-PARS Fwd Summary'!F23</f>
        <v>58625.818854781457</v>
      </c>
      <c r="G11" s="11"/>
      <c r="H11" s="99">
        <f>B11/$B$34</f>
        <v>0.88179271535969517</v>
      </c>
      <c r="J11" s="19">
        <f>D11*H11</f>
        <v>0.13664998005473553</v>
      </c>
    </row>
    <row r="12" spans="1:10" ht="12.75" customHeight="1">
      <c r="A12" s="367" t="s">
        <v>94</v>
      </c>
      <c r="B12" s="6">
        <f>'Table 3.3-PARS Fwd Summary'!B24</f>
        <v>0</v>
      </c>
      <c r="C12" s="11"/>
      <c r="D12" s="61">
        <v>0</v>
      </c>
      <c r="F12" s="81">
        <f>'Table 3.3-PARS Fwd Summary'!F24</f>
        <v>0</v>
      </c>
      <c r="H12" s="99">
        <f>B12/$B$34</f>
        <v>0</v>
      </c>
      <c r="J12" s="19">
        <f>D12*H12</f>
        <v>0</v>
      </c>
    </row>
    <row r="13" spans="1:10" ht="12.75" customHeight="1">
      <c r="A13" s="367" t="s">
        <v>95</v>
      </c>
      <c r="B13" s="6">
        <f>'Table 3.3-PARS Fwd Summary'!B25</f>
        <v>0</v>
      </c>
      <c r="D13" s="61">
        <v>0</v>
      </c>
      <c r="F13" s="81">
        <f>'Table 3.3-PARS Fwd Summary'!F25</f>
        <v>0</v>
      </c>
      <c r="H13" s="99">
        <f>B13/$B$34</f>
        <v>0</v>
      </c>
      <c r="J13" s="19">
        <f>D13*H13</f>
        <v>0</v>
      </c>
    </row>
    <row r="14" spans="1:10" ht="12.75" customHeight="1">
      <c r="A14" s="367" t="s">
        <v>205</v>
      </c>
      <c r="B14" s="6">
        <f>'Table 3.3-PARS Fwd Summary'!B26</f>
        <v>0</v>
      </c>
      <c r="D14" s="61">
        <v>0</v>
      </c>
      <c r="F14" s="81">
        <f>'Table 3.3-PARS Fwd Summary'!F26</f>
        <v>0</v>
      </c>
      <c r="H14" s="99">
        <f>B14/$B$34</f>
        <v>0</v>
      </c>
      <c r="J14" s="19">
        <f>D14*H14</f>
        <v>0</v>
      </c>
    </row>
    <row r="15" spans="1:10" ht="12.75" customHeight="1">
      <c r="A15" s="250" t="s">
        <v>97</v>
      </c>
      <c r="B15" s="6">
        <f>B11</f>
        <v>378308.28791512776</v>
      </c>
      <c r="D15" s="61">
        <f>F15/B15</f>
        <v>0.15496837031477875</v>
      </c>
      <c r="F15" s="81">
        <f>SUM(F11:F14)</f>
        <v>58625.818854781457</v>
      </c>
      <c r="H15" s="99">
        <f>B15/$B$34</f>
        <v>0.88179271535969517</v>
      </c>
      <c r="J15" s="19">
        <f>SUM(J11:J14)</f>
        <v>0.13664998005473553</v>
      </c>
    </row>
    <row r="16" spans="1:10" ht="5" customHeight="1">
      <c r="A16" s="258"/>
      <c r="B16" s="6"/>
      <c r="F16" s="81"/>
      <c r="H16" s="104"/>
      <c r="J16" s="19"/>
    </row>
    <row r="17" spans="1:10" ht="12.75" customHeight="1">
      <c r="A17" s="258" t="s">
        <v>497</v>
      </c>
      <c r="B17" s="6">
        <f>B8</f>
        <v>378308.28791512776</v>
      </c>
      <c r="D17" s="61">
        <f>F17/B17</f>
        <v>0.23629860822704851</v>
      </c>
      <c r="F17" s="81">
        <f>SUM(F8,F15)</f>
        <v>89393.721915102244</v>
      </c>
      <c r="H17" s="99">
        <f>B17/$B$34</f>
        <v>0.88179271535969517</v>
      </c>
      <c r="J17" s="19">
        <f>J8+J15</f>
        <v>0.2083663913842459</v>
      </c>
    </row>
    <row r="18" spans="1:10" ht="12.75" customHeight="1">
      <c r="A18" s="11"/>
      <c r="B18" s="6"/>
      <c r="F18" s="81"/>
      <c r="H18" s="104"/>
      <c r="J18" s="19"/>
    </row>
    <row r="19" spans="1:10" ht="12.75" customHeight="1">
      <c r="A19" s="14" t="s">
        <v>472</v>
      </c>
      <c r="B19" s="6"/>
      <c r="D19" s="61"/>
      <c r="F19" s="81"/>
      <c r="H19" s="104"/>
      <c r="J19" s="19"/>
    </row>
    <row r="20" spans="1:10" ht="12.75" customHeight="1">
      <c r="A20" s="258" t="s">
        <v>519</v>
      </c>
      <c r="B20" s="6">
        <f>'Table 3.4-NonPARS Fwd Summary'!B8</f>
        <v>32140.752579787706</v>
      </c>
      <c r="D20" s="61">
        <f>F20/B20</f>
        <v>0.29284282946082651</v>
      </c>
      <c r="F20" s="81">
        <f>'Table 3.4-NonPARS Fwd Summary'!F8</f>
        <v>9412.188926465391</v>
      </c>
      <c r="H20" s="99">
        <f>B20/$B$34</f>
        <v>7.4916364236232255E-2</v>
      </c>
      <c r="J20" s="19">
        <f>D20*H20</f>
        <v>2.1938720075856125E-2</v>
      </c>
    </row>
    <row r="21" spans="1:10" ht="12.75" customHeight="1">
      <c r="A21" s="258" t="s">
        <v>520</v>
      </c>
      <c r="B21" s="6">
        <f>'Table 3.4-NonPARS Fwd Summary'!B14</f>
        <v>18572.74810175112</v>
      </c>
      <c r="D21" s="61">
        <f>F21/B21</f>
        <v>0.49424273256713142</v>
      </c>
      <c r="F21" s="81">
        <f>'Table 3.4-NonPARS Fwd Summary'!F14</f>
        <v>9179.445773090476</v>
      </c>
      <c r="H21" s="99">
        <f>B21/$B$34</f>
        <v>4.3290920404072515E-2</v>
      </c>
      <c r="J21" s="19">
        <f>D21*H21</f>
        <v>2.1396222795854986E-2</v>
      </c>
    </row>
    <row r="22" spans="1:10" ht="12.75" customHeight="1">
      <c r="A22" s="258" t="s">
        <v>97</v>
      </c>
      <c r="B22" s="6">
        <f>SUM(B20:B21)</f>
        <v>50713.500681538826</v>
      </c>
      <c r="D22" s="61">
        <f>F22/B22</f>
        <v>0.36660128860565444</v>
      </c>
      <c r="F22" s="81">
        <f>SUM(F20:F21)</f>
        <v>18591.634699555867</v>
      </c>
      <c r="H22" s="99">
        <f>B22/$B$34</f>
        <v>0.11820728464030476</v>
      </c>
      <c r="J22" s="19">
        <f>SUM(J20:J21)</f>
        <v>4.3334942871711107E-2</v>
      </c>
    </row>
    <row r="23" spans="1:10" ht="5" customHeight="1">
      <c r="A23" s="258"/>
      <c r="B23" s="6"/>
      <c r="D23" s="61"/>
      <c r="F23" s="81"/>
      <c r="H23" s="104"/>
      <c r="J23" s="19"/>
    </row>
    <row r="24" spans="1:10" ht="12.75" customHeight="1">
      <c r="A24" s="258" t="s">
        <v>510</v>
      </c>
      <c r="B24" s="6"/>
      <c r="D24" s="61"/>
      <c r="F24" s="81"/>
      <c r="H24" s="104"/>
      <c r="J24" s="19"/>
    </row>
    <row r="25" spans="1:10" ht="12.75" customHeight="1">
      <c r="A25" s="367" t="s">
        <v>315</v>
      </c>
      <c r="B25" s="6">
        <f>'Table 3.4-NonPARS Fwd Summary'!B17</f>
        <v>50713.500681538826</v>
      </c>
      <c r="D25" s="61">
        <f t="shared" ref="D25:D30" si="0">F25/B25</f>
        <v>0.51031841382973075</v>
      </c>
      <c r="F25" s="81">
        <f>'Table 3.4-NonPARS Fwd Summary'!F17</f>
        <v>25880.033227555865</v>
      </c>
      <c r="H25" s="99">
        <f t="shared" ref="H25:H30" si="1">B25/$B$34</f>
        <v>0.11820728464030476</v>
      </c>
      <c r="J25" s="19">
        <f>D25*H25</f>
        <v>6.0323354000759825E-2</v>
      </c>
    </row>
    <row r="26" spans="1:10" ht="12.75" customHeight="1">
      <c r="A26" s="367" t="s">
        <v>94</v>
      </c>
      <c r="B26" s="6">
        <f>'Table 3.4-NonPARS Fwd Summary'!B18</f>
        <v>1376.722168270391</v>
      </c>
      <c r="D26" s="61">
        <f t="shared" si="0"/>
        <v>3.0195033259639619</v>
      </c>
      <c r="F26" s="81">
        <f>'Table 3.4-NonPARS Fwd Summary'!F18</f>
        <v>4157.0171660207625</v>
      </c>
      <c r="H26" s="99">
        <f t="shared" si="1"/>
        <v>3.2089796016506744E-3</v>
      </c>
      <c r="J26" s="19">
        <f>D26*H26</f>
        <v>9.6895245801347212E-3</v>
      </c>
    </row>
    <row r="27" spans="1:10" ht="12.75" customHeight="1">
      <c r="A27" s="367" t="s">
        <v>95</v>
      </c>
      <c r="B27" s="6">
        <f>'Table 3.4-NonPARS Fwd Summary'!B19</f>
        <v>1002.8017380164355</v>
      </c>
      <c r="D27" s="61">
        <f t="shared" si="0"/>
        <v>0.91297580183917582</v>
      </c>
      <c r="F27" s="81">
        <f>'Table 3.4-NonPARS Fwd Summary'!F19</f>
        <v>915.53372085127432</v>
      </c>
      <c r="H27" s="99">
        <f t="shared" si="1"/>
        <v>2.3374144732756052E-3</v>
      </c>
      <c r="J27" s="19">
        <f>D27*H27</f>
        <v>2.1340028529692905E-3</v>
      </c>
    </row>
    <row r="28" spans="1:10" ht="12.75" customHeight="1">
      <c r="A28" s="367" t="s">
        <v>205</v>
      </c>
      <c r="B28" s="6">
        <f>'Table 3.4-NonPARS Fwd Summary'!B20</f>
        <v>373.92043025395549</v>
      </c>
      <c r="D28" s="61">
        <f t="shared" si="0"/>
        <v>0.52776229856710566</v>
      </c>
      <c r="F28" s="81">
        <f>'Table 3.4-NonPARS Fwd Summary'!F20</f>
        <v>197.34110575202865</v>
      </c>
      <c r="H28" s="99">
        <f t="shared" si="1"/>
        <v>8.7156512837506918E-4</v>
      </c>
      <c r="J28" s="19">
        <f>D28*H28</f>
        <v>4.5997921550216105E-4</v>
      </c>
    </row>
    <row r="29" spans="1:10" ht="12.75" customHeight="1">
      <c r="A29" s="367" t="s">
        <v>96</v>
      </c>
      <c r="B29" s="6">
        <f>'Table 3.4-NonPARS Fwd Summary'!B21</f>
        <v>794.94389135215567</v>
      </c>
      <c r="D29" s="61">
        <f t="shared" si="0"/>
        <v>5.2682396357793539</v>
      </c>
      <c r="F29" s="81">
        <f>'Table 3.4-NonPARS Fwd Summary'!F21</f>
        <v>4187.9549166421029</v>
      </c>
      <c r="H29" s="99">
        <f t="shared" si="1"/>
        <v>1.8529219552051725E-3</v>
      </c>
      <c r="J29" s="19">
        <f>D29*H29</f>
        <v>9.7616368864176673E-3</v>
      </c>
    </row>
    <row r="30" spans="1:10" ht="12.75" customHeight="1">
      <c r="A30" s="250" t="s">
        <v>97</v>
      </c>
      <c r="B30" s="6">
        <f>B25</f>
        <v>50713.500681538826</v>
      </c>
      <c r="D30" s="61">
        <f t="shared" si="0"/>
        <v>0.69681405664992957</v>
      </c>
      <c r="F30" s="81">
        <f>SUM(F25:F29)</f>
        <v>35337.880136822037</v>
      </c>
      <c r="H30" s="99">
        <f t="shared" si="1"/>
        <v>0.11820728464030476</v>
      </c>
      <c r="J30" s="19">
        <f>SUM(J25:J29)</f>
        <v>8.2368497535783652E-2</v>
      </c>
    </row>
    <row r="31" spans="1:10" ht="5" customHeight="1">
      <c r="A31" s="258"/>
      <c r="B31" s="6"/>
      <c r="D31" s="61"/>
      <c r="F31" s="81"/>
      <c r="H31" s="104"/>
      <c r="J31" s="19"/>
    </row>
    <row r="32" spans="1:10" ht="12.75" customHeight="1">
      <c r="A32" s="166" t="s">
        <v>487</v>
      </c>
      <c r="B32" s="6">
        <f>B22</f>
        <v>50713.500681538826</v>
      </c>
      <c r="D32" s="61">
        <f>F32/B32</f>
        <v>1.0634153452555839</v>
      </c>
      <c r="F32" s="81">
        <f>SUM(F22,F30)</f>
        <v>53929.514836377901</v>
      </c>
      <c r="H32" s="99">
        <f>B32/$B$34</f>
        <v>0.11820728464030476</v>
      </c>
      <c r="J32" s="19">
        <f>J22+J30</f>
        <v>0.12570344040749476</v>
      </c>
    </row>
    <row r="33" spans="1:11" ht="12.75" customHeight="1">
      <c r="A33" s="258"/>
      <c r="B33" s="6"/>
      <c r="D33" s="61"/>
      <c r="F33" s="81"/>
      <c r="H33" s="104"/>
      <c r="J33" s="19"/>
    </row>
    <row r="34" spans="1:11" ht="12.75" customHeight="1">
      <c r="A34" s="16" t="s">
        <v>264</v>
      </c>
      <c r="B34" s="260">
        <f>SUM(B17,B32)</f>
        <v>429021.78859666659</v>
      </c>
      <c r="C34" s="5"/>
      <c r="D34" s="259"/>
      <c r="E34" s="5"/>
      <c r="F34" s="370">
        <f>SUM(F17,F32)</f>
        <v>143323.23675148014</v>
      </c>
      <c r="G34" s="5"/>
      <c r="H34" s="369"/>
      <c r="I34" s="5"/>
      <c r="J34" s="259">
        <f>SUM(J17,J32)</f>
        <v>0.33406983179174066</v>
      </c>
    </row>
    <row r="35" spans="1:11" ht="12.75" hidden="1" customHeight="1">
      <c r="A35" s="60"/>
      <c r="B35" s="6"/>
    </row>
    <row r="36" spans="1:11" ht="12.75" hidden="1" customHeight="1">
      <c r="A36" s="60"/>
      <c r="B36" s="6"/>
      <c r="F36" s="81"/>
      <c r="H36" s="104"/>
    </row>
    <row r="37" spans="1:11" ht="12.75" hidden="1" customHeight="1">
      <c r="A37" s="13" t="s">
        <v>186</v>
      </c>
      <c r="B37" s="105">
        <v>0</v>
      </c>
      <c r="D37" s="6"/>
      <c r="F37" s="81"/>
      <c r="G37" s="365" t="s">
        <v>306</v>
      </c>
      <c r="H37" s="75">
        <f>SUM('Table 3.14-Route UAA'!J102,'Table 3.14-Route UAA'!J106)</f>
        <v>14399.98306185018</v>
      </c>
      <c r="J37" s="6">
        <f>'Table 3.3-PARS Fwd Summary'!J32+'Table 3.4-NonPARS Fwd Summary'!J27</f>
        <v>14399.983061850176</v>
      </c>
      <c r="K37" s="105">
        <f t="shared" ref="K37:K44" si="2">H37-J37</f>
        <v>0</v>
      </c>
    </row>
    <row r="38" spans="1:11" ht="12.75" hidden="1" customHeight="1">
      <c r="A38" s="258"/>
      <c r="B38" s="105">
        <v>0</v>
      </c>
      <c r="D38" s="61"/>
      <c r="F38" s="81"/>
      <c r="G38" s="36" t="s">
        <v>307</v>
      </c>
      <c r="H38" s="75">
        <f>SUM('Table 3.18-Nixie UAA'!I6,'Table 3.18-Nixie UAA'!I15,'Table 3.18-Nixie UAA'!I24)+SUM('Table 3.31-Rating Post Due'!H7,'Table 3.31-Rating Post Due'!H12,'Table 3.31-Rating Post Due'!H20)</f>
        <v>5087.6982599385492</v>
      </c>
      <c r="J38" s="6">
        <f>'Table 3.3-PARS Fwd Summary'!J33+'Table 3.4-NonPARS Fwd Summary'!J28</f>
        <v>5087.6982599385492</v>
      </c>
      <c r="K38" s="105">
        <f t="shared" si="2"/>
        <v>0</v>
      </c>
    </row>
    <row r="39" spans="1:11" ht="12.75" hidden="1" customHeight="1">
      <c r="A39" s="258"/>
      <c r="B39" s="105">
        <v>0</v>
      </c>
      <c r="D39" s="61"/>
      <c r="F39" s="81"/>
      <c r="G39" s="36" t="s">
        <v>308</v>
      </c>
      <c r="H39" s="75">
        <f>SUM('Table 3.20-CFS Non-CIOSS'!H9,'Table 3.20-CFS Non-CIOSS'!H45,'Table 3.20-CFS Non-CIOSS'!H56,'Table 3.21-CFS CIOSS Rejs'!H9)</f>
        <v>8458.9860625772999</v>
      </c>
      <c r="J39" s="6">
        <f>'Table 3.3-PARS Fwd Summary'!J34+'Table 3.4-NonPARS Fwd Summary'!J29</f>
        <v>8458.9860625772999</v>
      </c>
      <c r="K39" s="105">
        <f t="shared" si="2"/>
        <v>0</v>
      </c>
    </row>
    <row r="40" spans="1:11" ht="12.75" hidden="1" customHeight="1">
      <c r="A40" s="258"/>
      <c r="B40" s="6"/>
      <c r="D40" s="61"/>
      <c r="F40" s="81"/>
      <c r="G40" s="365" t="s">
        <v>495</v>
      </c>
      <c r="H40" s="75">
        <f>SUM('Table 3.23-CIOSS Summary'!I4,'Table 3.23-CIOSS Summary'!I8,'Table 3.23-CIOSS Summary'!I11)</f>
        <v>18364.914154246697</v>
      </c>
      <c r="J40" s="6">
        <f>'Table 3.3-PARS Fwd Summary'!J35</f>
        <v>18364.914154246697</v>
      </c>
      <c r="K40" s="105">
        <f t="shared" si="2"/>
        <v>0</v>
      </c>
    </row>
    <row r="41" spans="1:11" ht="12.75" hidden="1" customHeight="1">
      <c r="A41" s="258"/>
      <c r="B41" s="6"/>
      <c r="D41" s="61"/>
      <c r="F41" s="81"/>
      <c r="G41" s="365" t="s">
        <v>496</v>
      </c>
      <c r="H41" s="75">
        <f>'Table 3.25-REC Summary'!K4+'Table 3.25-REC Summary'!K8</f>
        <v>3047.9562212639244</v>
      </c>
      <c r="J41" s="6">
        <f>'Table 3.3-PARS Fwd Summary'!J36</f>
        <v>3047.9562212639239</v>
      </c>
      <c r="K41" s="105">
        <f t="shared" si="2"/>
        <v>0</v>
      </c>
    </row>
    <row r="42" spans="1:11" ht="12.75" hidden="1" customHeight="1">
      <c r="A42" s="60"/>
      <c r="B42" s="6"/>
      <c r="D42" s="61"/>
      <c r="F42" s="108"/>
      <c r="G42" s="36" t="s">
        <v>511</v>
      </c>
      <c r="H42" s="6">
        <f>'Table 3.3-PARS Fwd Summary'!H37+'Table 3.4-NonPARS Fwd Summary'!H30</f>
        <v>84505.852082337311</v>
      </c>
      <c r="J42" s="6">
        <f>'Table 3.3-PARS Fwd Summary'!J37+'Table 3.4-NonPARS Fwd Summary'!J30</f>
        <v>84505.852082337326</v>
      </c>
      <c r="K42" s="105">
        <f t="shared" si="2"/>
        <v>0</v>
      </c>
    </row>
    <row r="43" spans="1:11" ht="12.75" hidden="1" customHeight="1">
      <c r="A43" s="14"/>
      <c r="B43" s="6"/>
      <c r="D43" s="61"/>
      <c r="F43" s="108"/>
      <c r="G43" s="36" t="s">
        <v>310</v>
      </c>
      <c r="H43" s="75">
        <f>SUM('Table 3.32-Accounting Post Due'!D4:D5)*'Table 3.32-Accounting Post Due'!F4+SUM('Table 3.33-Delivery Post Due'!D5:D9)*'Table 3.33-Delivery Post Due'!F5+SUM('Table 3.34-Window Post Due'!D4:D5)*'Table 3.34-Window Post Due'!F4+'Table 3.36-Process Form 3546'!J17*'Table 3.36-Process Form 3546'!B4</f>
        <v>9457.8469092661671</v>
      </c>
      <c r="J43" s="6">
        <f>'Table 3.3-PARS Fwd Summary'!J38+'Table 3.4-NonPARS Fwd Summary'!J31</f>
        <v>9457.846909266169</v>
      </c>
      <c r="K43" s="105">
        <f t="shared" si="2"/>
        <v>0</v>
      </c>
    </row>
    <row r="44" spans="1:11" ht="12.75" hidden="1" customHeight="1">
      <c r="A44" s="14"/>
      <c r="B44" s="6"/>
      <c r="D44" s="61"/>
      <c r="F44" s="108"/>
      <c r="G44" s="36" t="s">
        <v>309</v>
      </c>
      <c r="H44" s="6">
        <f>SUM(H37:H43)</f>
        <v>143323.23675148012</v>
      </c>
      <c r="J44" s="6">
        <f>SUM(J37:J43)</f>
        <v>143323.23675148014</v>
      </c>
      <c r="K44" s="105">
        <f t="shared" si="2"/>
        <v>0</v>
      </c>
    </row>
    <row r="45" spans="1:11">
      <c r="A45" s="204"/>
      <c r="B45" s="204"/>
      <c r="C45" s="204"/>
      <c r="D45" s="204"/>
      <c r="E45" s="204"/>
      <c r="F45" s="204"/>
      <c r="H45" s="167"/>
    </row>
    <row r="46" spans="1:11">
      <c r="A46" s="12" t="s">
        <v>230</v>
      </c>
    </row>
    <row r="47" spans="1:11">
      <c r="A47" s="12" t="s">
        <v>568</v>
      </c>
      <c r="D47" s="11"/>
    </row>
    <row r="48" spans="1:11">
      <c r="A48" s="12" t="s">
        <v>569</v>
      </c>
      <c r="D48" s="11"/>
    </row>
    <row r="49" spans="1:4">
      <c r="A49" s="12"/>
      <c r="D49" s="11"/>
    </row>
    <row r="50" spans="1:4">
      <c r="A50" s="11"/>
    </row>
    <row r="51" spans="1:4">
      <c r="A51" s="11"/>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K52"/>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1" s="12" customFormat="1" ht="16">
      <c r="A1" s="117" t="s">
        <v>516</v>
      </c>
      <c r="B1" s="16"/>
      <c r="C1" s="16"/>
      <c r="D1" s="16"/>
      <c r="E1" s="16"/>
      <c r="F1" s="16"/>
      <c r="G1" s="16"/>
      <c r="H1" s="16"/>
      <c r="I1" s="16"/>
      <c r="J1" s="16"/>
    </row>
    <row r="2" spans="1:11" s="12" customFormat="1" ht="16">
      <c r="A2" s="117" t="s">
        <v>780</v>
      </c>
      <c r="B2" s="16"/>
      <c r="C2" s="16"/>
      <c r="D2" s="16"/>
      <c r="E2" s="16"/>
      <c r="F2" s="16"/>
      <c r="G2" s="16"/>
      <c r="H2" s="16"/>
      <c r="I2" s="16"/>
      <c r="J2" s="16"/>
    </row>
    <row r="3" spans="1:11" ht="28">
      <c r="B3" s="125" t="s">
        <v>104</v>
      </c>
      <c r="C3" s="125"/>
      <c r="D3" s="126" t="s">
        <v>99</v>
      </c>
      <c r="E3" s="126"/>
      <c r="F3" s="125" t="s">
        <v>105</v>
      </c>
      <c r="G3" s="125"/>
      <c r="H3" s="127" t="s">
        <v>92</v>
      </c>
      <c r="I3" s="127"/>
      <c r="J3" s="128" t="s">
        <v>100</v>
      </c>
    </row>
    <row r="4" spans="1:11">
      <c r="A4" s="14" t="s">
        <v>570</v>
      </c>
    </row>
    <row r="5" spans="1:11">
      <c r="A5" s="258" t="s">
        <v>474</v>
      </c>
      <c r="B5" s="6">
        <f>SUM('Table 3.24-CIOSS Detail'!E4,'Table 3.24-CIOSS Detail'!E8)</f>
        <v>317286.8884814764</v>
      </c>
      <c r="C5" s="11" t="s">
        <v>235</v>
      </c>
      <c r="D5" s="61">
        <f>F5/B5</f>
        <v>4.8544836951515062E-2</v>
      </c>
      <c r="F5" s="108">
        <f>SUM('Table 3.24-CIOSS Detail'!K4,'Table 3.24-CIOSS Detail'!K8)</f>
        <v>15402.640268186815</v>
      </c>
      <c r="G5" s="11" t="s">
        <v>235</v>
      </c>
      <c r="H5" s="99">
        <f>B5/$B$29</f>
        <v>0.8386992794423227</v>
      </c>
      <c r="J5" s="88">
        <f>D5*H5</f>
        <v>4.0714519771880724E-2</v>
      </c>
    </row>
    <row r="6" spans="1:11">
      <c r="A6" s="258" t="s">
        <v>90</v>
      </c>
      <c r="B6" s="6">
        <f>SUM('Table 3.28-REC Volume'!G4,'Table 3.28-REC Volume'!G8)</f>
        <v>289644.85839947546</v>
      </c>
      <c r="C6" s="11" t="s">
        <v>236</v>
      </c>
      <c r="D6" s="61">
        <f>F6/B6</f>
        <v>0</v>
      </c>
      <c r="F6" s="108">
        <v>0</v>
      </c>
      <c r="H6" s="99">
        <f>B6/$B$29</f>
        <v>0.76563180784571216</v>
      </c>
      <c r="J6" s="88">
        <f>D6*H6</f>
        <v>0</v>
      </c>
    </row>
    <row r="7" spans="1:11">
      <c r="A7" s="166" t="s">
        <v>492</v>
      </c>
      <c r="B7" s="6">
        <f>SUM('Table 3.28-REC Volume'!H4)</f>
        <v>17651.07706180499</v>
      </c>
      <c r="C7" s="11" t="s">
        <v>236</v>
      </c>
      <c r="D7" s="61">
        <f>F7/B7</f>
        <v>0.10707332111359794</v>
      </c>
      <c r="F7" s="108">
        <f>'Table 3.26-REC Detail NonACS'!K4</f>
        <v>1889.9594422395085</v>
      </c>
      <c r="G7" s="11" t="s">
        <v>237</v>
      </c>
      <c r="H7" s="99">
        <f>B7/$B$29</f>
        <v>4.6657917961778705E-2</v>
      </c>
      <c r="J7" s="88">
        <f>D7*H7</f>
        <v>4.99581823241344E-3</v>
      </c>
    </row>
    <row r="8" spans="1:11">
      <c r="A8" s="166" t="s">
        <v>669</v>
      </c>
      <c r="B8" s="6">
        <f>SUM('Table 3.28-REC Volume'!H8)</f>
        <v>5231.6496929738096</v>
      </c>
      <c r="C8" s="11" t="s">
        <v>236</v>
      </c>
      <c r="D8" s="61">
        <f>F8/B8</f>
        <v>5.3536660556798947E-2</v>
      </c>
      <c r="F8" s="108">
        <f>'Table 3.26-REC Detail NonACS'!K8</f>
        <v>280.08505376482026</v>
      </c>
      <c r="G8" s="11" t="s">
        <v>237</v>
      </c>
      <c r="H8" s="99">
        <f>B8/$B$29</f>
        <v>1.3829064443196955E-2</v>
      </c>
      <c r="J8" s="88">
        <f>D8*H8</f>
        <v>7.4036192891353326E-4</v>
      </c>
    </row>
    <row r="9" spans="1:11">
      <c r="A9" s="166" t="s">
        <v>482</v>
      </c>
      <c r="B9" s="6">
        <v>4759.3033272221446</v>
      </c>
      <c r="C9" s="11" t="s">
        <v>238</v>
      </c>
      <c r="D9" s="61">
        <f>'Table 3.21-CFS CIOSS Rejs'!I9</f>
        <v>0.3280042692922982</v>
      </c>
      <c r="E9" s="11" t="s">
        <v>239</v>
      </c>
      <c r="F9" s="108">
        <f>B9*D9</f>
        <v>1561.0718101859031</v>
      </c>
      <c r="H9" s="99">
        <f>B9/$B$29</f>
        <v>1.2580489191634837E-2</v>
      </c>
      <c r="J9" s="88">
        <f>D9*H9</f>
        <v>4.12645416464184E-3</v>
      </c>
      <c r="K9" s="6"/>
    </row>
    <row r="10" spans="1:11">
      <c r="A10" s="60" t="s">
        <v>97</v>
      </c>
      <c r="B10" s="6">
        <f>B5</f>
        <v>317286.8884814764</v>
      </c>
      <c r="D10" s="61">
        <f>F10/B10</f>
        <v>6.0304277513484765E-2</v>
      </c>
      <c r="F10" s="108">
        <f>SUM(F5:F9)</f>
        <v>19133.756574377046</v>
      </c>
      <c r="H10" s="104"/>
      <c r="J10" s="19">
        <f>SUM(J5:J9)</f>
        <v>5.0577154097849533E-2</v>
      </c>
    </row>
    <row r="11" spans="1:11" ht="5" customHeight="1">
      <c r="A11" s="60"/>
      <c r="B11" s="6"/>
      <c r="F11" s="108"/>
      <c r="H11" s="104"/>
    </row>
    <row r="12" spans="1:11">
      <c r="A12" s="14" t="s">
        <v>571</v>
      </c>
      <c r="F12" s="108"/>
    </row>
    <row r="13" spans="1:11">
      <c r="A13" s="258" t="s">
        <v>302</v>
      </c>
      <c r="B13" s="6">
        <f>'Table 3.16-Route UAA PARS'!D106</f>
        <v>61021.399433651379</v>
      </c>
      <c r="C13" s="205" t="s">
        <v>575</v>
      </c>
      <c r="D13" s="61">
        <f t="shared" ref="D13:D18" si="0">F13/B13</f>
        <v>0.11521150338366312</v>
      </c>
      <c r="E13" s="205"/>
      <c r="F13" s="108">
        <f>'Table 3.16-Route UAA PARS'!J106</f>
        <v>7030.3671673259851</v>
      </c>
      <c r="G13" s="205" t="s">
        <v>575</v>
      </c>
      <c r="H13" s="99">
        <f t="shared" ref="H13:H19" si="1">B13/$B$29</f>
        <v>0.16130072055767739</v>
      </c>
      <c r="J13" s="88">
        <f t="shared" ref="J13:J19" si="2">D13*H13</f>
        <v>1.8583698512318149E-2</v>
      </c>
    </row>
    <row r="14" spans="1:11">
      <c r="A14" s="258" t="s">
        <v>488</v>
      </c>
      <c r="B14" s="6">
        <f>'Table 3.18-Nixie UAA'!D6</f>
        <v>61021.399433651393</v>
      </c>
      <c r="C14" s="205" t="s">
        <v>579</v>
      </c>
      <c r="D14" s="61">
        <f t="shared" si="0"/>
        <v>7.5934757087251625E-3</v>
      </c>
      <c r="E14" s="205"/>
      <c r="F14" s="108">
        <f>'Table 3.18-Nixie UAA'!I6</f>
        <v>463.36451431184724</v>
      </c>
      <c r="G14" s="205" t="s">
        <v>579</v>
      </c>
      <c r="H14" s="99">
        <f t="shared" si="1"/>
        <v>0.16130072055767741</v>
      </c>
      <c r="J14" s="88">
        <f t="shared" si="2"/>
        <v>1.2248331033545888E-3</v>
      </c>
    </row>
    <row r="15" spans="1:11">
      <c r="A15" s="258" t="s">
        <v>474</v>
      </c>
      <c r="B15" s="6">
        <f>SUM('Table 3.24-CIOSS Detail'!E19,'Table 3.24-CIOSS Detail'!E23)</f>
        <v>61021.399433651386</v>
      </c>
      <c r="C15" s="205" t="s">
        <v>235</v>
      </c>
      <c r="D15" s="61">
        <f t="shared" si="0"/>
        <v>4.8544836951515062E-2</v>
      </c>
      <c r="E15" s="205"/>
      <c r="F15" s="108">
        <f>SUM('Table 3.24-CIOSS Detail'!K19,'Table 3.24-CIOSS Detail'!K23)</f>
        <v>2962.2738860598802</v>
      </c>
      <c r="G15" s="205" t="s">
        <v>235</v>
      </c>
      <c r="H15" s="99">
        <f t="shared" si="1"/>
        <v>0.16130072055767739</v>
      </c>
      <c r="J15" s="88">
        <f t="shared" si="2"/>
        <v>7.830317179634342E-3</v>
      </c>
    </row>
    <row r="16" spans="1:11">
      <c r="A16" s="258" t="s">
        <v>90</v>
      </c>
      <c r="B16" s="6">
        <f>SUM('Table 3.28-REC Volume'!G19,'Table 3.28-REC Volume'!G23)</f>
        <v>50848.658070849444</v>
      </c>
      <c r="C16" s="11" t="s">
        <v>236</v>
      </c>
      <c r="D16" s="61">
        <f t="shared" si="0"/>
        <v>0</v>
      </c>
      <c r="F16" s="108">
        <v>0</v>
      </c>
      <c r="H16" s="99">
        <f t="shared" si="1"/>
        <v>0.13441063729023345</v>
      </c>
      <c r="J16" s="88">
        <f t="shared" si="2"/>
        <v>0</v>
      </c>
    </row>
    <row r="17" spans="1:11">
      <c r="A17" s="166" t="s">
        <v>492</v>
      </c>
      <c r="B17" s="6">
        <f>SUM('Table 3.28-REC Volume'!H19)</f>
        <v>7140.90773002674</v>
      </c>
      <c r="C17" s="11" t="s">
        <v>236</v>
      </c>
      <c r="D17" s="61">
        <f t="shared" si="0"/>
        <v>0.10707332111359791</v>
      </c>
      <c r="E17" s="205"/>
      <c r="F17" s="108">
        <f>'Table 3.26-REC Detail NonACS'!K19</f>
        <v>764.60070641972663</v>
      </c>
      <c r="G17" s="11" t="s">
        <v>237</v>
      </c>
      <c r="H17" s="99">
        <f t="shared" si="1"/>
        <v>1.887589555433895E-2</v>
      </c>
      <c r="J17" s="88">
        <f t="shared" si="2"/>
        <v>2.0211048259964697E-3</v>
      </c>
    </row>
    <row r="18" spans="1:11" ht="12.75" customHeight="1">
      <c r="A18" s="166" t="s">
        <v>669</v>
      </c>
      <c r="B18" s="6">
        <f>SUM('Table 3.28-REC Volume'!H23)</f>
        <v>2116.5126412704262</v>
      </c>
      <c r="C18" s="11" t="s">
        <v>236</v>
      </c>
      <c r="D18" s="61">
        <f t="shared" si="0"/>
        <v>5.3536660556798954E-2</v>
      </c>
      <c r="E18" s="205"/>
      <c r="F18" s="108">
        <f>'Table 3.26-REC Detail NonACS'!K23</f>
        <v>113.31101883986881</v>
      </c>
      <c r="G18" s="11" t="s">
        <v>237</v>
      </c>
      <c r="H18" s="99">
        <f t="shared" si="1"/>
        <v>5.5946769047398167E-3</v>
      </c>
      <c r="J18" s="88">
        <f t="shared" si="2"/>
        <v>2.9952031837401818E-4</v>
      </c>
    </row>
    <row r="19" spans="1:11">
      <c r="A19" s="166" t="s">
        <v>482</v>
      </c>
      <c r="B19" s="6">
        <f>'Table 3.21-CFS CIOSS Rejs'!B9-B9</f>
        <v>915.32099150477097</v>
      </c>
      <c r="C19" s="205" t="s">
        <v>580</v>
      </c>
      <c r="D19" s="61">
        <f>'Table 3.21-CFS CIOSS Rejs'!I9</f>
        <v>0.3280042692922982</v>
      </c>
      <c r="E19" s="11" t="s">
        <v>239</v>
      </c>
      <c r="F19" s="108">
        <f>B19*D19</f>
        <v>300.22919298642427</v>
      </c>
      <c r="H19" s="99">
        <f t="shared" si="1"/>
        <v>2.4195108083651614E-3</v>
      </c>
      <c r="J19" s="88">
        <f t="shared" si="2"/>
        <v>7.9360987474263252E-4</v>
      </c>
    </row>
    <row r="20" spans="1:11" ht="12.75" customHeight="1">
      <c r="A20" s="60" t="s">
        <v>97</v>
      </c>
      <c r="B20" s="6">
        <f>B13</f>
        <v>61021.399433651379</v>
      </c>
      <c r="D20" s="61">
        <f>F20/B20</f>
        <v>0.1906568284883986</v>
      </c>
      <c r="F20" s="108">
        <f>SUM(F13:F19)</f>
        <v>11634.146485943735</v>
      </c>
      <c r="H20" s="104"/>
      <c r="J20" s="19">
        <f>SUM(J13:J19)</f>
        <v>3.0753083814420202E-2</v>
      </c>
    </row>
    <row r="21" spans="1:11" ht="5" customHeight="1">
      <c r="A21" s="60"/>
      <c r="B21" s="6"/>
      <c r="F21" s="108"/>
      <c r="H21" s="104"/>
    </row>
    <row r="22" spans="1:11" ht="12.75" customHeight="1">
      <c r="A22" s="14" t="s">
        <v>572</v>
      </c>
      <c r="B22" s="6"/>
      <c r="F22" s="108"/>
      <c r="H22" s="104"/>
    </row>
    <row r="23" spans="1:11" ht="12.75" customHeight="1">
      <c r="A23" s="258" t="s">
        <v>315</v>
      </c>
      <c r="B23" s="6">
        <f>SUM(B10,B20)</f>
        <v>378308.28791512776</v>
      </c>
      <c r="D23" s="61">
        <f>'Table 3.30-UAA MP Cost'!D8</f>
        <v>0.15496837031477875</v>
      </c>
      <c r="E23" s="11" t="s">
        <v>584</v>
      </c>
      <c r="F23" s="108">
        <f>B23*D23</f>
        <v>58625.818854781457</v>
      </c>
      <c r="H23" s="99">
        <f>B23/$B$29</f>
        <v>1</v>
      </c>
      <c r="J23" s="88">
        <f>D23*H23</f>
        <v>0.15496837031477875</v>
      </c>
    </row>
    <row r="24" spans="1:11">
      <c r="A24" s="258" t="s">
        <v>94</v>
      </c>
      <c r="B24" s="6">
        <f>'Table 3.35-PD Vols'!B6</f>
        <v>0</v>
      </c>
      <c r="C24" s="11" t="s">
        <v>583</v>
      </c>
      <c r="D24" s="61">
        <f>'Table 3.32-Accounting Post Due'!I7</f>
        <v>3.0195033259639619</v>
      </c>
      <c r="E24" s="11" t="s">
        <v>585</v>
      </c>
      <c r="F24" s="108">
        <f>B24*D24</f>
        <v>0</v>
      </c>
      <c r="H24" s="99">
        <f>B24/$B$29</f>
        <v>0</v>
      </c>
      <c r="J24" s="88">
        <f>D24*H24</f>
        <v>0</v>
      </c>
    </row>
    <row r="25" spans="1:11">
      <c r="A25" s="258" t="s">
        <v>95</v>
      </c>
      <c r="B25" s="6">
        <f>'Table 3.35-PD Vols'!B7</f>
        <v>0</v>
      </c>
      <c r="C25" s="11" t="s">
        <v>583</v>
      </c>
      <c r="D25" s="61">
        <f>'Table 3.33-Delivery Post Due'!I11</f>
        <v>0.91297580183917582</v>
      </c>
      <c r="E25" s="11" t="s">
        <v>586</v>
      </c>
      <c r="F25" s="108">
        <f>B25*D25</f>
        <v>0</v>
      </c>
      <c r="H25" s="99">
        <f>B25/$B$29</f>
        <v>0</v>
      </c>
      <c r="J25" s="88">
        <f>D25*H25</f>
        <v>0</v>
      </c>
    </row>
    <row r="26" spans="1:11">
      <c r="A26" s="258" t="s">
        <v>205</v>
      </c>
      <c r="B26" s="6">
        <f>'Table 3.35-PD Vols'!B8</f>
        <v>0</v>
      </c>
      <c r="C26" s="11" t="s">
        <v>583</v>
      </c>
      <c r="D26" s="61">
        <f>'Table 3.34-Window Post Due'!I7</f>
        <v>0.52776229856710566</v>
      </c>
      <c r="E26" s="11" t="s">
        <v>587</v>
      </c>
      <c r="F26" s="108">
        <f>B26*D26</f>
        <v>0</v>
      </c>
      <c r="H26" s="99">
        <f>B26/$B$29</f>
        <v>0</v>
      </c>
      <c r="J26" s="88">
        <f>D26*H26</f>
        <v>0</v>
      </c>
    </row>
    <row r="27" spans="1:11">
      <c r="A27" s="60" t="s">
        <v>97</v>
      </c>
      <c r="B27" s="6">
        <f>B23</f>
        <v>378308.28791512776</v>
      </c>
      <c r="D27" s="61">
        <f>F27/B27</f>
        <v>0.15496837031477875</v>
      </c>
      <c r="F27" s="108">
        <f>SUM(F23:F26)</f>
        <v>58625.818854781457</v>
      </c>
      <c r="H27" s="104"/>
      <c r="J27" s="19">
        <f>SUM(J23:J26)</f>
        <v>0.15496837031477875</v>
      </c>
    </row>
    <row r="28" spans="1:11" ht="5" customHeight="1">
      <c r="A28" s="14"/>
      <c r="B28" s="6"/>
      <c r="D28" s="61"/>
      <c r="F28" s="108"/>
      <c r="H28" s="104"/>
    </row>
    <row r="29" spans="1:11">
      <c r="A29" s="14" t="s">
        <v>497</v>
      </c>
      <c r="B29" s="260">
        <f>SUM(B10,B20)</f>
        <v>378308.28791512776</v>
      </c>
      <c r="D29" s="61"/>
      <c r="F29" s="368">
        <f>SUM(F10,F20,F27)</f>
        <v>89393.721915102244</v>
      </c>
      <c r="H29" s="104"/>
      <c r="J29" s="311">
        <f>SUM(J10,J20,J27)</f>
        <v>0.23629860822704848</v>
      </c>
    </row>
    <row r="30" spans="1:11" hidden="1">
      <c r="A30" s="14"/>
      <c r="B30" s="6"/>
      <c r="D30" s="61"/>
      <c r="F30" s="108"/>
      <c r="H30" s="104"/>
    </row>
    <row r="31" spans="1:11" hidden="1">
      <c r="A31" s="5"/>
      <c r="B31" s="167"/>
      <c r="F31" s="262"/>
      <c r="H31" s="6"/>
      <c r="J31" s="6"/>
    </row>
    <row r="32" spans="1:11" hidden="1">
      <c r="A32" s="20" t="s">
        <v>186</v>
      </c>
      <c r="B32" s="105">
        <f>B5-SUM(B6:B9)</f>
        <v>0</v>
      </c>
      <c r="G32" s="365" t="s">
        <v>306</v>
      </c>
      <c r="H32" s="6">
        <f>SUM('Table 3.16-Route UAA PARS'!J106)</f>
        <v>7030.3671673259851</v>
      </c>
      <c r="J32" s="6">
        <f>SUM(F13)</f>
        <v>7030.3671673259851</v>
      </c>
      <c r="K32" s="105">
        <f t="shared" ref="K32:K39" si="3">H32-J32</f>
        <v>0</v>
      </c>
    </row>
    <row r="33" spans="1:11" hidden="1">
      <c r="A33" s="5"/>
      <c r="B33" s="105">
        <f>B15-SUM(B16:B19)</f>
        <v>0</v>
      </c>
      <c r="G33" s="36" t="s">
        <v>307</v>
      </c>
      <c r="H33" s="6">
        <f>SUM('Table 3.18-Nixie UAA'!I6)</f>
        <v>463.36451431184724</v>
      </c>
      <c r="J33" s="6">
        <f>SUM(F14)</f>
        <v>463.36451431184724</v>
      </c>
      <c r="K33" s="105">
        <f t="shared" si="3"/>
        <v>0</v>
      </c>
    </row>
    <row r="34" spans="1:11" hidden="1">
      <c r="A34" s="5"/>
      <c r="B34" s="105">
        <f>B29-SUM('Table 3.23-CIOSS Summary'!C4,'Table 3.23-CIOSS Summary'!C8,'Table 3.23-CIOSS Summary'!C11)</f>
        <v>0</v>
      </c>
      <c r="G34" s="36" t="s">
        <v>308</v>
      </c>
      <c r="H34" s="6">
        <f>SUM('Table 3.21-CFS CIOSS Rejs'!H9)</f>
        <v>1861.3010031723275</v>
      </c>
      <c r="J34" s="6">
        <f>SUM(F9,F19)</f>
        <v>1861.3010031723275</v>
      </c>
      <c r="K34" s="105">
        <f t="shared" si="3"/>
        <v>0</v>
      </c>
    </row>
    <row r="35" spans="1:11" hidden="1">
      <c r="A35" s="5"/>
      <c r="B35" s="167"/>
      <c r="G35" s="365" t="s">
        <v>495</v>
      </c>
      <c r="H35" s="6">
        <f>SUM('Table 3.23-CIOSS Summary'!I4,'Table 3.23-CIOSS Summary'!I8,'Table 3.23-CIOSS Summary'!I11)</f>
        <v>18364.914154246697</v>
      </c>
      <c r="J35" s="6">
        <f>SUM(F5,F15)</f>
        <v>18364.914154246697</v>
      </c>
      <c r="K35" s="105">
        <f t="shared" si="3"/>
        <v>0</v>
      </c>
    </row>
    <row r="36" spans="1:11" hidden="1">
      <c r="A36" s="5"/>
      <c r="B36" s="167"/>
      <c r="G36" s="365" t="s">
        <v>496</v>
      </c>
      <c r="H36" s="6">
        <f>'Table 3.25-REC Summary'!K4+'Table 3.25-REC Summary'!K8</f>
        <v>3047.9562212639244</v>
      </c>
      <c r="J36" s="6">
        <f>SUM(F7:F8,F17:F18)</f>
        <v>3047.9562212639239</v>
      </c>
      <c r="K36" s="105">
        <f t="shared" si="3"/>
        <v>0</v>
      </c>
    </row>
    <row r="37" spans="1:11" hidden="1">
      <c r="A37" s="5"/>
      <c r="B37" s="167"/>
      <c r="G37" s="36" t="s">
        <v>511</v>
      </c>
      <c r="H37" s="6">
        <f>'Table 3.30-UAA MP Cost'!F8</f>
        <v>58625.818854781457</v>
      </c>
      <c r="J37" s="6">
        <f>F23</f>
        <v>58625.818854781457</v>
      </c>
      <c r="K37" s="105">
        <f t="shared" si="3"/>
        <v>0</v>
      </c>
    </row>
    <row r="38" spans="1:11" hidden="1">
      <c r="A38" s="5"/>
      <c r="G38" s="36" t="s">
        <v>310</v>
      </c>
      <c r="H38" s="6">
        <f>SUM(F24:F26)</f>
        <v>0</v>
      </c>
      <c r="J38" s="6">
        <f>SUM(F24:F26)</f>
        <v>0</v>
      </c>
      <c r="K38" s="105">
        <f t="shared" si="3"/>
        <v>0</v>
      </c>
    </row>
    <row r="39" spans="1:11" hidden="1">
      <c r="A39" s="5"/>
      <c r="B39" s="167"/>
      <c r="G39" s="36" t="s">
        <v>309</v>
      </c>
      <c r="H39" s="6">
        <f>SUM(H32:H38)</f>
        <v>89393.721915102244</v>
      </c>
      <c r="J39" s="6">
        <f>SUM(J32:J38)</f>
        <v>89393.721915102244</v>
      </c>
      <c r="K39" s="105">
        <f t="shared" si="3"/>
        <v>0</v>
      </c>
    </row>
    <row r="40" spans="1:11">
      <c r="A40" s="204"/>
      <c r="B40" s="204"/>
      <c r="C40" s="204"/>
      <c r="D40" s="204"/>
      <c r="E40" s="204"/>
      <c r="F40" s="204"/>
      <c r="H40" s="167"/>
    </row>
    <row r="41" spans="1:11">
      <c r="A41" s="12" t="s">
        <v>230</v>
      </c>
    </row>
    <row r="42" spans="1:11">
      <c r="A42" s="11" t="s">
        <v>60</v>
      </c>
      <c r="D42" s="11"/>
      <c r="E42" s="11" t="s">
        <v>672</v>
      </c>
    </row>
    <row r="43" spans="1:11">
      <c r="A43" s="11" t="s">
        <v>573</v>
      </c>
      <c r="D43" s="11"/>
      <c r="E43" s="11" t="s">
        <v>673</v>
      </c>
      <c r="F43" s="6"/>
      <c r="H43" s="161"/>
      <c r="J43" s="6"/>
    </row>
    <row r="44" spans="1:11">
      <c r="A44" s="11" t="s">
        <v>574</v>
      </c>
      <c r="D44" s="11"/>
      <c r="E44" s="11" t="s">
        <v>674</v>
      </c>
      <c r="F44" s="6"/>
      <c r="H44" s="161"/>
      <c r="J44" s="6"/>
    </row>
    <row r="45" spans="1:11">
      <c r="A45" s="11" t="s">
        <v>576</v>
      </c>
      <c r="E45" s="11" t="s">
        <v>675</v>
      </c>
      <c r="J45" s="6"/>
    </row>
    <row r="46" spans="1:11">
      <c r="A46" s="11" t="s">
        <v>671</v>
      </c>
      <c r="E46" s="11" t="s">
        <v>676</v>
      </c>
      <c r="F46" s="6"/>
    </row>
    <row r="47" spans="1:11">
      <c r="A47" s="11" t="s">
        <v>577</v>
      </c>
      <c r="E47" s="11" t="s">
        <v>38</v>
      </c>
      <c r="F47" s="6"/>
    </row>
    <row r="48" spans="1:11">
      <c r="A48" s="11" t="s">
        <v>608</v>
      </c>
    </row>
    <row r="49" spans="1:1">
      <c r="A49" s="11" t="s">
        <v>578</v>
      </c>
    </row>
    <row r="50" spans="1:1">
      <c r="A50" s="11" t="s">
        <v>581</v>
      </c>
    </row>
    <row r="51" spans="1:1">
      <c r="A51" s="11" t="s">
        <v>582</v>
      </c>
    </row>
    <row r="52" spans="1:1">
      <c r="A52" s="11" t="s">
        <v>609</v>
      </c>
    </row>
  </sheetData>
  <phoneticPr fontId="5" type="noConversion"/>
  <printOptions horizontalCentered="1"/>
  <pageMargins left="0.75" right="0.75" top="1" bottom="1" header="0.5" footer="0.5"/>
  <pageSetup scale="90" orientation="landscape" r:id="rId1"/>
  <headerFooter alignWithMargins="0">
    <oddFooter>&amp;L&amp;F</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pageSetUpPr fitToPage="1"/>
  </sheetPr>
  <dimension ref="A1:K43"/>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1" s="12" customFormat="1" ht="16">
      <c r="A1" s="117" t="s">
        <v>541</v>
      </c>
      <c r="B1" s="16"/>
      <c r="C1" s="16"/>
      <c r="D1" s="16"/>
      <c r="E1" s="16"/>
      <c r="F1" s="16"/>
      <c r="G1" s="16"/>
      <c r="H1" s="16"/>
      <c r="I1" s="16"/>
      <c r="J1" s="16"/>
    </row>
    <row r="2" spans="1:11" s="12" customFormat="1" ht="16">
      <c r="A2" s="117" t="s">
        <v>780</v>
      </c>
      <c r="B2" s="16"/>
      <c r="C2" s="16"/>
      <c r="D2" s="16"/>
      <c r="E2" s="16"/>
      <c r="F2" s="16"/>
      <c r="G2" s="16"/>
      <c r="H2" s="16"/>
      <c r="I2" s="16"/>
      <c r="J2" s="16"/>
    </row>
    <row r="3" spans="1:11" ht="28">
      <c r="B3" s="125" t="s">
        <v>104</v>
      </c>
      <c r="C3" s="125"/>
      <c r="D3" s="126" t="s">
        <v>99</v>
      </c>
      <c r="E3" s="126"/>
      <c r="F3" s="125" t="s">
        <v>105</v>
      </c>
      <c r="G3" s="125"/>
      <c r="H3" s="127" t="s">
        <v>92</v>
      </c>
      <c r="I3" s="127"/>
      <c r="J3" s="128" t="s">
        <v>100</v>
      </c>
    </row>
    <row r="4" spans="1:11">
      <c r="A4" s="14" t="s">
        <v>588</v>
      </c>
    </row>
    <row r="5" spans="1:11">
      <c r="A5" s="258" t="s">
        <v>302</v>
      </c>
      <c r="B5" s="6">
        <f>'Table 3.15-Route UAA NoPARS'!D102</f>
        <v>32140.752579787706</v>
      </c>
      <c r="C5" s="11" t="s">
        <v>235</v>
      </c>
      <c r="D5" s="61">
        <f>F5/B5</f>
        <v>0.14896524805861638</v>
      </c>
      <c r="F5" s="108">
        <f>'Table 3.15-Route UAA NoPARS'!J102</f>
        <v>4787.8551808386901</v>
      </c>
      <c r="G5" s="11" t="s">
        <v>235</v>
      </c>
      <c r="H5" s="99">
        <f>B5/$B$24</f>
        <v>0.63377112894688936</v>
      </c>
      <c r="J5" s="19">
        <f>D5*H5</f>
        <v>9.440987343596273E-2</v>
      </c>
    </row>
    <row r="6" spans="1:11">
      <c r="A6" s="166" t="s">
        <v>513</v>
      </c>
      <c r="B6" s="6">
        <f>SUM('Table 3.18-Nixie UAA'!D15,'Table 3.18-Nixie UAA'!D24)</f>
        <v>32140.752579787702</v>
      </c>
      <c r="C6" s="11" t="s">
        <v>236</v>
      </c>
      <c r="D6" s="61">
        <f>F6/B6</f>
        <v>0.14241007459603208</v>
      </c>
      <c r="F6" s="108">
        <f>SUM('Table 3.18-Nixie UAA'!I15,'Table 3.18-Nixie UAA'!I24)</f>
        <v>4577.166972460177</v>
      </c>
      <c r="G6" s="11" t="s">
        <v>236</v>
      </c>
      <c r="H6" s="99">
        <f>B6/$B$24</f>
        <v>0.63377112894688936</v>
      </c>
      <c r="J6" s="19">
        <f>D6*H6</f>
        <v>9.0255393750137983E-2</v>
      </c>
    </row>
    <row r="7" spans="1:11">
      <c r="A7" s="258" t="s">
        <v>93</v>
      </c>
      <c r="B7" s="6">
        <f>SUM('Table 3.31-Rating Post Due'!B12,'Table 3.31-Rating Post Due'!B20)</f>
        <v>211.22317673820839</v>
      </c>
      <c r="C7" s="11" t="s">
        <v>237</v>
      </c>
      <c r="D7" s="61">
        <f>F7/B7</f>
        <v>0.22330301955918169</v>
      </c>
      <c r="F7" s="108">
        <f>SUM('Table 3.31-Rating Post Due'!H12,'Table 3.31-Rating Post Due'!H20)</f>
        <v>47.166773166524642</v>
      </c>
      <c r="G7" s="11" t="s">
        <v>237</v>
      </c>
      <c r="H7" s="99">
        <f>B7/$B$24</f>
        <v>4.1650285209969681E-3</v>
      </c>
      <c r="J7" s="19">
        <f>D7*H7</f>
        <v>9.3006344528873553E-4</v>
      </c>
    </row>
    <row r="8" spans="1:11">
      <c r="A8" s="258" t="s">
        <v>97</v>
      </c>
      <c r="B8" s="6">
        <f>B5</f>
        <v>32140.752579787706</v>
      </c>
      <c r="D8" s="61">
        <f>F8/B8</f>
        <v>0.29284282946082651</v>
      </c>
      <c r="F8" s="108">
        <f>SUM(F5:F7)</f>
        <v>9412.188926465391</v>
      </c>
      <c r="J8" s="19">
        <f>SUM(J5:J7)</f>
        <v>0.18559533063138944</v>
      </c>
    </row>
    <row r="9" spans="1:11" ht="5" customHeight="1">
      <c r="B9" s="6"/>
      <c r="D9" s="61"/>
      <c r="F9" s="108"/>
      <c r="H9" s="6"/>
      <c r="K9" s="6"/>
    </row>
    <row r="10" spans="1:11">
      <c r="A10" s="14" t="s">
        <v>589</v>
      </c>
      <c r="B10" s="6"/>
      <c r="D10" s="61"/>
      <c r="F10" s="108"/>
      <c r="H10" s="104"/>
    </row>
    <row r="11" spans="1:11" ht="12.75" customHeight="1">
      <c r="A11" s="258" t="s">
        <v>302</v>
      </c>
      <c r="B11" s="6">
        <f>'Table 3.15-Route UAA NoPARS'!D106</f>
        <v>18572.74810175112</v>
      </c>
      <c r="C11" s="11" t="s">
        <v>235</v>
      </c>
      <c r="D11" s="61">
        <f>F11/B11</f>
        <v>0.13900800783714296</v>
      </c>
      <c r="F11" s="108">
        <f>'Table 3.15-Route UAA NoPARS'!J106</f>
        <v>2581.7607136855017</v>
      </c>
      <c r="G11" s="11" t="s">
        <v>235</v>
      </c>
      <c r="H11" s="99">
        <f>B11/$B$24</f>
        <v>0.36622887105311064</v>
      </c>
      <c r="J11" s="19">
        <f>D11*H11</f>
        <v>5.0908745777538823E-2</v>
      </c>
    </row>
    <row r="12" spans="1:11" ht="12.75" customHeight="1">
      <c r="A12" s="166" t="s">
        <v>91</v>
      </c>
      <c r="B12" s="6">
        <f>'Table 3.20-CFS Non-CIOSS'!B9</f>
        <v>18572.748101751124</v>
      </c>
      <c r="C12" s="11" t="s">
        <v>238</v>
      </c>
      <c r="D12" s="61">
        <f>F12/B12</f>
        <v>0.32800426929229815</v>
      </c>
      <c r="F12" s="108">
        <f>'Table 3.20-CFS Non-CIOSS'!H9</f>
        <v>6091.9406698647945</v>
      </c>
      <c r="G12" s="11" t="s">
        <v>238</v>
      </c>
      <c r="H12" s="99">
        <f>B12/$B$24</f>
        <v>0.36622887105311069</v>
      </c>
      <c r="J12" s="19">
        <f>D12*H12</f>
        <v>0.12012463324351885</v>
      </c>
    </row>
    <row r="13" spans="1:11">
      <c r="A13" s="166" t="s">
        <v>305</v>
      </c>
      <c r="B13" s="6">
        <f>'Table 3.20-CFS Non-CIOSS'!B45+'Table 3.20-CFS Non-CIOSS'!B56</f>
        <v>1165.498991532183</v>
      </c>
      <c r="C13" s="11" t="s">
        <v>238</v>
      </c>
      <c r="D13" s="61">
        <f>F13/B13</f>
        <v>0.4339294956191419</v>
      </c>
      <c r="E13" s="205"/>
      <c r="F13" s="6">
        <f>'Table 3.20-CFS Non-CIOSS'!H45+'Table 3.20-CFS Non-CIOSS'!H56</f>
        <v>505.7443895401787</v>
      </c>
      <c r="G13" s="11" t="s">
        <v>238</v>
      </c>
      <c r="H13" s="99">
        <f>B13/$B$24</f>
        <v>2.2982026006271309E-2</v>
      </c>
      <c r="J13" s="19">
        <f>D13*H13</f>
        <v>9.972578953207311E-3</v>
      </c>
    </row>
    <row r="14" spans="1:11">
      <c r="A14" s="258" t="s">
        <v>97</v>
      </c>
      <c r="B14" s="6">
        <f>B11</f>
        <v>18572.74810175112</v>
      </c>
      <c r="C14" s="205"/>
      <c r="D14" s="61">
        <f>F14/B14</f>
        <v>0.49424273256713142</v>
      </c>
      <c r="E14" s="205"/>
      <c r="F14" s="108">
        <f>SUM(F11:F13)</f>
        <v>9179.445773090476</v>
      </c>
      <c r="H14" s="104"/>
      <c r="J14" s="61">
        <f>SUM(J11:J13)</f>
        <v>0.18100595797426497</v>
      </c>
    </row>
    <row r="15" spans="1:11" ht="5" customHeight="1">
      <c r="A15" s="60"/>
      <c r="B15" s="6"/>
      <c r="F15" s="108"/>
      <c r="H15" s="104"/>
    </row>
    <row r="16" spans="1:11" ht="12.75" customHeight="1">
      <c r="A16" s="14" t="s">
        <v>572</v>
      </c>
      <c r="B16" s="6"/>
      <c r="F16" s="108"/>
      <c r="H16" s="104"/>
    </row>
    <row r="17" spans="1:11" ht="12.75" customHeight="1">
      <c r="A17" s="258" t="s">
        <v>315</v>
      </c>
      <c r="B17" s="6">
        <f>SUM(B8,B14)</f>
        <v>50713.500681538826</v>
      </c>
      <c r="D17" s="61">
        <f>'Table 3.30-UAA MP Cost'!D16</f>
        <v>0.51031841382973075</v>
      </c>
      <c r="E17" s="11" t="s">
        <v>579</v>
      </c>
      <c r="F17" s="108">
        <f>B17*D17</f>
        <v>25880.033227555865</v>
      </c>
      <c r="H17" s="99">
        <f>B17/$B$24</f>
        <v>1</v>
      </c>
      <c r="J17" s="19">
        <f>D17*H17</f>
        <v>0.51031841382973075</v>
      </c>
    </row>
    <row r="18" spans="1:11">
      <c r="A18" s="258" t="s">
        <v>94</v>
      </c>
      <c r="B18" s="6">
        <f>'Table 3.35-PD Vols'!D6</f>
        <v>1376.722168270391</v>
      </c>
      <c r="C18" s="11" t="s">
        <v>239</v>
      </c>
      <c r="D18" s="61">
        <f>'Table 3.32-Accounting Post Due'!I7</f>
        <v>3.0195033259639619</v>
      </c>
      <c r="E18" s="11" t="s">
        <v>580</v>
      </c>
      <c r="F18" s="108">
        <f>B18*D18</f>
        <v>4157.0171660207625</v>
      </c>
      <c r="H18" s="99">
        <f>B18/$B$24</f>
        <v>2.7147054527268268E-2</v>
      </c>
      <c r="J18" s="19">
        <f>D18*H18</f>
        <v>8.1970621435211569E-2</v>
      </c>
    </row>
    <row r="19" spans="1:11">
      <c r="A19" s="258" t="s">
        <v>95</v>
      </c>
      <c r="B19" s="6">
        <f>'Table 3.35-PD Vols'!D7</f>
        <v>1002.8017380164355</v>
      </c>
      <c r="C19" s="11" t="s">
        <v>239</v>
      </c>
      <c r="D19" s="61">
        <f>'Table 3.33-Delivery Post Due'!I11</f>
        <v>0.91297580183917582</v>
      </c>
      <c r="E19" s="11" t="s">
        <v>583</v>
      </c>
      <c r="F19" s="108">
        <f>B19*D19</f>
        <v>915.53372085127432</v>
      </c>
      <c r="H19" s="99">
        <f>B19/$B$24</f>
        <v>1.9773861487370842E-2</v>
      </c>
      <c r="J19" s="19">
        <f>D19*H19</f>
        <v>1.8053057046889191E-2</v>
      </c>
    </row>
    <row r="20" spans="1:11">
      <c r="A20" s="258" t="s">
        <v>205</v>
      </c>
      <c r="B20" s="6">
        <f>'Table 3.35-PD Vols'!D8</f>
        <v>373.92043025395549</v>
      </c>
      <c r="C20" s="11" t="s">
        <v>239</v>
      </c>
      <c r="D20" s="61">
        <f>'Table 3.34-Window Post Due'!I7</f>
        <v>0.52776229856710566</v>
      </c>
      <c r="E20" s="11" t="s">
        <v>584</v>
      </c>
      <c r="F20" s="108">
        <f>B20*D20</f>
        <v>197.34110575202865</v>
      </c>
      <c r="H20" s="99">
        <f>B20/$B$24</f>
        <v>7.3731930398974266E-3</v>
      </c>
      <c r="J20" s="19">
        <f>D20*H20</f>
        <v>3.8912933065152512E-3</v>
      </c>
    </row>
    <row r="21" spans="1:11">
      <c r="A21" s="258" t="s">
        <v>96</v>
      </c>
      <c r="B21" s="6">
        <f>'Table 3.36-Process Form 3546'!B4</f>
        <v>794.94389135215567</v>
      </c>
      <c r="C21" s="11" t="s">
        <v>575</v>
      </c>
      <c r="D21" s="61">
        <f>'Table 3.36-Process Form 3546'!J17</f>
        <v>5.2682396357793539</v>
      </c>
      <c r="E21" s="11" t="s">
        <v>575</v>
      </c>
      <c r="F21" s="108">
        <f>B21*D21</f>
        <v>4187.9549166421029</v>
      </c>
      <c r="H21" s="99">
        <f>B21/$B$24</f>
        <v>1.5675192614765365E-2</v>
      </c>
      <c r="J21" s="19">
        <f>D21*H21</f>
        <v>8.2580671031582703E-2</v>
      </c>
    </row>
    <row r="22" spans="1:11">
      <c r="A22" s="60" t="s">
        <v>97</v>
      </c>
      <c r="B22" s="6">
        <f>B17</f>
        <v>50713.500681538826</v>
      </c>
      <c r="D22" s="61">
        <f>F22/B22</f>
        <v>0.69681405664992957</v>
      </c>
      <c r="F22" s="108">
        <f>SUM(F17:F21)</f>
        <v>35337.880136822037</v>
      </c>
      <c r="H22" s="104"/>
      <c r="J22" s="19">
        <f>SUM(J17:J21)</f>
        <v>0.69681405664992957</v>
      </c>
    </row>
    <row r="23" spans="1:11" ht="5" customHeight="1">
      <c r="A23" s="14"/>
      <c r="B23" s="6"/>
      <c r="D23" s="61"/>
      <c r="F23" s="108"/>
      <c r="H23" s="104"/>
    </row>
    <row r="24" spans="1:11">
      <c r="A24" s="14" t="s">
        <v>487</v>
      </c>
      <c r="B24" s="260">
        <f>SUM(B8,B14)</f>
        <v>50713.500681538826</v>
      </c>
      <c r="D24" s="61"/>
      <c r="F24" s="368">
        <f>SUM(F8,F14,F22)</f>
        <v>53929.514836377901</v>
      </c>
      <c r="H24" s="104"/>
      <c r="J24" s="311">
        <f>SUM(J8,J14,J22)</f>
        <v>1.0634153452555841</v>
      </c>
    </row>
    <row r="25" spans="1:11" hidden="1">
      <c r="A25" s="14"/>
      <c r="B25" s="6"/>
      <c r="D25" s="61"/>
      <c r="F25" s="108"/>
      <c r="H25" s="104"/>
    </row>
    <row r="26" spans="1:11" hidden="1">
      <c r="A26" s="5"/>
      <c r="B26" s="167"/>
      <c r="F26" s="262"/>
      <c r="H26" s="6"/>
      <c r="J26" s="6"/>
    </row>
    <row r="27" spans="1:11" hidden="1">
      <c r="A27" s="20" t="s">
        <v>186</v>
      </c>
      <c r="B27" s="167"/>
      <c r="G27" s="365" t="s">
        <v>306</v>
      </c>
      <c r="H27" s="6">
        <f>SUM('Table 3.15-Route UAA NoPARS'!J102,'Table 3.15-Route UAA NoPARS'!J106)</f>
        <v>7369.6158945241914</v>
      </c>
      <c r="J27" s="6">
        <f>SUM(F5,F11)</f>
        <v>7369.6158945241914</v>
      </c>
      <c r="K27" s="105">
        <f t="shared" ref="K27:K32" si="0">H27-J27</f>
        <v>0</v>
      </c>
    </row>
    <row r="28" spans="1:11" hidden="1">
      <c r="A28" s="5"/>
      <c r="B28" s="167"/>
      <c r="G28" s="36" t="s">
        <v>307</v>
      </c>
      <c r="H28" s="6">
        <f>SUM('Table 3.18-Nixie UAA'!I15,'Table 3.18-Nixie UAA'!I24)+SUM('Table 3.31-Rating Post Due'!H12,'Table 3.31-Rating Post Due'!H20)</f>
        <v>4624.3337456267018</v>
      </c>
      <c r="J28" s="6">
        <f>SUM(F6:F7)</f>
        <v>4624.3337456267018</v>
      </c>
      <c r="K28" s="105">
        <f t="shared" si="0"/>
        <v>0</v>
      </c>
    </row>
    <row r="29" spans="1:11" hidden="1">
      <c r="A29" s="5"/>
      <c r="B29" s="167"/>
      <c r="G29" s="36" t="s">
        <v>308</v>
      </c>
      <c r="H29" s="6">
        <f>SUM('Table 3.20-CFS Non-CIOSS'!H9,'Table 3.20-CFS Non-CIOSS'!H45,'Table 3.20-CFS Non-CIOSS'!H56)</f>
        <v>6597.6850594049729</v>
      </c>
      <c r="J29" s="6">
        <f>SUM(F12:F13)</f>
        <v>6597.6850594049729</v>
      </c>
      <c r="K29" s="105">
        <f t="shared" si="0"/>
        <v>0</v>
      </c>
    </row>
    <row r="30" spans="1:11" hidden="1">
      <c r="A30" s="5"/>
      <c r="B30" s="167"/>
      <c r="G30" s="36" t="s">
        <v>511</v>
      </c>
      <c r="H30" s="6">
        <f>'Table 3.30-UAA MP Cost'!F16</f>
        <v>25880.033227555861</v>
      </c>
      <c r="J30" s="6">
        <f>F17</f>
        <v>25880.033227555865</v>
      </c>
      <c r="K30" s="105">
        <f t="shared" si="0"/>
        <v>0</v>
      </c>
    </row>
    <row r="31" spans="1:11" hidden="1">
      <c r="A31" s="5"/>
      <c r="G31" s="36" t="s">
        <v>310</v>
      </c>
      <c r="H31" s="6">
        <f>SUM(F18:F21)</f>
        <v>9457.846909266169</v>
      </c>
      <c r="J31" s="6">
        <f>SUM(F18:F21)</f>
        <v>9457.846909266169</v>
      </c>
      <c r="K31" s="105">
        <f t="shared" si="0"/>
        <v>0</v>
      </c>
    </row>
    <row r="32" spans="1:11" hidden="1">
      <c r="A32" s="5"/>
      <c r="B32" s="167"/>
      <c r="G32" s="36" t="s">
        <v>309</v>
      </c>
      <c r="H32" s="6">
        <f>SUM(H27:H31)</f>
        <v>53929.514836377901</v>
      </c>
      <c r="J32" s="6">
        <f>SUM(J27:J31)</f>
        <v>53929.514836377901</v>
      </c>
      <c r="K32" s="105">
        <f t="shared" si="0"/>
        <v>0</v>
      </c>
    </row>
    <row r="33" spans="1:10">
      <c r="A33" s="204"/>
      <c r="B33" s="204"/>
      <c r="C33" s="204"/>
      <c r="D33" s="204"/>
      <c r="E33" s="204"/>
      <c r="F33" s="204"/>
      <c r="H33" s="167"/>
    </row>
    <row r="34" spans="1:10">
      <c r="A34" s="12" t="s">
        <v>230</v>
      </c>
    </row>
    <row r="35" spans="1:10">
      <c r="A35" s="11" t="s">
        <v>590</v>
      </c>
      <c r="C35" s="11" t="s">
        <v>677</v>
      </c>
      <c r="D35" s="11"/>
    </row>
    <row r="36" spans="1:10">
      <c r="A36" s="11" t="s">
        <v>591</v>
      </c>
      <c r="C36" s="11" t="s">
        <v>678</v>
      </c>
      <c r="D36" s="11"/>
      <c r="F36" s="6"/>
      <c r="H36" s="161"/>
      <c r="J36" s="6"/>
    </row>
    <row r="37" spans="1:10">
      <c r="A37" s="11" t="s">
        <v>574</v>
      </c>
      <c r="C37" s="11" t="s">
        <v>679</v>
      </c>
      <c r="D37" s="11"/>
      <c r="F37" s="6"/>
      <c r="H37" s="161"/>
      <c r="J37" s="6"/>
    </row>
    <row r="38" spans="1:10">
      <c r="A38" s="11" t="s">
        <v>592</v>
      </c>
      <c r="C38" s="11" t="s">
        <v>680</v>
      </c>
      <c r="F38" s="6"/>
      <c r="H38" s="161"/>
      <c r="J38" s="6"/>
    </row>
    <row r="39" spans="1:10">
      <c r="A39" s="11" t="s">
        <v>593</v>
      </c>
      <c r="C39" s="11" t="s">
        <v>681</v>
      </c>
      <c r="F39" s="6"/>
      <c r="H39" s="161"/>
      <c r="J39" s="6"/>
    </row>
    <row r="40" spans="1:10">
      <c r="A40" s="11" t="s">
        <v>21</v>
      </c>
      <c r="C40" s="11" t="s">
        <v>682</v>
      </c>
      <c r="J40" s="6"/>
    </row>
    <row r="41" spans="1:10">
      <c r="A41" s="11" t="s">
        <v>594</v>
      </c>
    </row>
    <row r="42" spans="1:10">
      <c r="J42" s="6"/>
    </row>
    <row r="43" spans="1:10">
      <c r="J43" s="99"/>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K56"/>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0" s="12" customFormat="1" ht="16">
      <c r="A1" s="117" t="s">
        <v>542</v>
      </c>
      <c r="B1" s="16"/>
      <c r="C1" s="16"/>
      <c r="D1" s="16"/>
      <c r="E1" s="16"/>
      <c r="F1" s="16"/>
      <c r="G1" s="16"/>
      <c r="H1" s="16"/>
      <c r="I1" s="16"/>
      <c r="J1" s="16"/>
    </row>
    <row r="2" spans="1:10" s="12" customFormat="1" ht="16">
      <c r="A2" s="117" t="s">
        <v>780</v>
      </c>
      <c r="B2" s="16"/>
      <c r="C2" s="16"/>
      <c r="D2" s="16"/>
      <c r="E2" s="16"/>
      <c r="F2" s="16"/>
      <c r="G2" s="16"/>
      <c r="H2" s="16"/>
      <c r="I2" s="16"/>
      <c r="J2" s="16"/>
    </row>
    <row r="3" spans="1:10" ht="28">
      <c r="B3" s="125" t="s">
        <v>104</v>
      </c>
      <c r="C3" s="125"/>
      <c r="D3" s="126" t="s">
        <v>99</v>
      </c>
      <c r="E3" s="126"/>
      <c r="F3" s="125" t="s">
        <v>105</v>
      </c>
      <c r="G3" s="125"/>
      <c r="H3" s="127" t="s">
        <v>92</v>
      </c>
      <c r="I3" s="127"/>
      <c r="J3" s="128" t="s">
        <v>100</v>
      </c>
    </row>
    <row r="4" spans="1:10" ht="12.75" customHeight="1">
      <c r="A4" s="14"/>
    </row>
    <row r="5" spans="1:10" ht="12.75" customHeight="1">
      <c r="A5" s="14" t="s">
        <v>567</v>
      </c>
      <c r="B5" s="6"/>
      <c r="D5" s="61"/>
      <c r="F5" s="108"/>
    </row>
    <row r="6" spans="1:10" ht="12.75" customHeight="1">
      <c r="A6" s="166" t="s">
        <v>12</v>
      </c>
      <c r="B6" s="6">
        <f>'Table 3.6-PARS RTS Summary'!B10</f>
        <v>16936.488359984214</v>
      </c>
      <c r="D6" s="61">
        <f t="shared" ref="D6:D12" si="0">F6/B6</f>
        <v>5.8504508965218596E-2</v>
      </c>
      <c r="F6" s="108">
        <f>'Table 3.6-PARS RTS Summary'!F10</f>
        <v>990.86093509601687</v>
      </c>
      <c r="H6" s="99">
        <f t="shared" ref="H6:H12" si="1">B6/$B$38</f>
        <v>1.3754419610043523E-2</v>
      </c>
      <c r="J6" s="19">
        <f t="shared" ref="J6:J11" si="2">D6*H6</f>
        <v>8.0469556538716972E-4</v>
      </c>
    </row>
    <row r="7" spans="1:10" ht="12.75" customHeight="1">
      <c r="A7" s="258" t="s">
        <v>499</v>
      </c>
      <c r="B7" s="6">
        <f>'Table 3.6-PARS RTS Summary'!B18</f>
        <v>169632.3484860661</v>
      </c>
      <c r="D7" s="61">
        <f t="shared" si="0"/>
        <v>6.1095796048035785E-2</v>
      </c>
      <c r="F7" s="108">
        <f>'Table 3.6-PARS RTS Summary'!F18</f>
        <v>10363.823366254026</v>
      </c>
      <c r="H7" s="99">
        <f t="shared" si="1"/>
        <v>0.13776140903135006</v>
      </c>
      <c r="J7" s="19">
        <f t="shared" si="2"/>
        <v>8.4166429494693992E-3</v>
      </c>
    </row>
    <row r="8" spans="1:10" ht="12.75" customHeight="1">
      <c r="A8" s="258" t="s">
        <v>500</v>
      </c>
      <c r="B8" s="6">
        <f>'Table 3.6-PARS RTS Summary'!B28</f>
        <v>32624.112970369097</v>
      </c>
      <c r="D8" s="61">
        <f t="shared" si="0"/>
        <v>0.19382255143992355</v>
      </c>
      <c r="F8" s="108">
        <f>'Table 3.6-PARS RTS Summary'!F28</f>
        <v>6323.2888143812415</v>
      </c>
      <c r="H8" s="99">
        <f t="shared" si="1"/>
        <v>2.6494615038387934E-2</v>
      </c>
      <c r="J8" s="19">
        <f t="shared" si="2"/>
        <v>5.1352538861589173E-3</v>
      </c>
    </row>
    <row r="9" spans="1:10" ht="12.75" customHeight="1">
      <c r="A9" s="258" t="s">
        <v>503</v>
      </c>
      <c r="B9" s="6">
        <f>'Table 3.6-PARS RTS Summary'!B38</f>
        <v>770334.7555022093</v>
      </c>
      <c r="D9" s="61">
        <f t="shared" si="0"/>
        <v>0.16624956998793944</v>
      </c>
      <c r="F9" s="108">
        <f>'Table 3.6-PARS RTS Summary'!F38</f>
        <v>128067.82184900675</v>
      </c>
      <c r="H9" s="99">
        <f t="shared" si="1"/>
        <v>0.6256023823930138</v>
      </c>
      <c r="J9" s="19">
        <f t="shared" si="2"/>
        <v>0.10400612705626899</v>
      </c>
    </row>
    <row r="10" spans="1:10" ht="12.75" customHeight="1">
      <c r="A10" s="258" t="s">
        <v>501</v>
      </c>
      <c r="B10" s="6">
        <f>'Table 3.6-PARS RTS Summary'!B49</f>
        <v>3847.4578945667217</v>
      </c>
      <c r="D10" s="61">
        <f t="shared" si="0"/>
        <v>5.2802179754108676E-2</v>
      </c>
      <c r="F10" s="81">
        <f>'Table 3.6-PARS RTS Summary'!F49</f>
        <v>203.15416334527654</v>
      </c>
      <c r="H10" s="99">
        <f t="shared" si="1"/>
        <v>3.1245881193930456E-3</v>
      </c>
      <c r="J10" s="19">
        <f t="shared" si="2"/>
        <v>1.6498506353774397E-4</v>
      </c>
    </row>
    <row r="11" spans="1:10" ht="12.75" customHeight="1">
      <c r="A11" s="258" t="s">
        <v>502</v>
      </c>
      <c r="B11" s="6">
        <f>'Table 3.6-PARS RTS Summary'!B59</f>
        <v>131087.12684525002</v>
      </c>
      <c r="D11" s="61">
        <f t="shared" si="0"/>
        <v>0.15320936694589504</v>
      </c>
      <c r="F11" s="81">
        <f>'Table 3.6-PARS RTS Summary'!F59</f>
        <v>20083.775718716999</v>
      </c>
      <c r="H11" s="99">
        <f t="shared" si="1"/>
        <v>0.10645815766416943</v>
      </c>
      <c r="J11" s="19">
        <f t="shared" si="2"/>
        <v>1.6310386941953681E-2</v>
      </c>
    </row>
    <row r="12" spans="1:10" ht="12.75" customHeight="1">
      <c r="A12" s="258" t="s">
        <v>97</v>
      </c>
      <c r="B12" s="6">
        <f>SUM(B6:B11)</f>
        <v>1124462.2900584454</v>
      </c>
      <c r="D12" s="61">
        <f t="shared" si="0"/>
        <v>0.14765521824495381</v>
      </c>
      <c r="F12" s="81">
        <f>SUM(F6:F11)</f>
        <v>166032.72484680032</v>
      </c>
      <c r="H12" s="99">
        <f t="shared" si="1"/>
        <v>0.91319557185635769</v>
      </c>
      <c r="J12" s="19">
        <f>SUM(J6:J11)</f>
        <v>0.13483809146277592</v>
      </c>
    </row>
    <row r="13" spans="1:10" ht="5" customHeight="1">
      <c r="A13" s="258"/>
      <c r="B13" s="6"/>
      <c r="F13" s="81"/>
      <c r="H13" s="104"/>
      <c r="J13" s="19"/>
    </row>
    <row r="14" spans="1:10" ht="12.75" customHeight="1">
      <c r="A14" s="258" t="s">
        <v>510</v>
      </c>
      <c r="B14" s="6"/>
      <c r="F14" s="81"/>
      <c r="H14" s="104"/>
      <c r="J14" s="19"/>
    </row>
    <row r="15" spans="1:10" ht="12.75" customHeight="1">
      <c r="A15" s="367" t="s">
        <v>315</v>
      </c>
      <c r="B15" s="6">
        <f>'Table 3.6-PARS RTS Summary'!B62</f>
        <v>1124462.2900584454</v>
      </c>
      <c r="D15" s="61">
        <f>F15/B15</f>
        <v>0.15496837031477878</v>
      </c>
      <c r="F15" s="81">
        <f>'Table 3.6-PARS RTS Summary'!F62</f>
        <v>174256.08857078137</v>
      </c>
      <c r="H15" s="99">
        <f>B15/$B$38</f>
        <v>0.91319557185635769</v>
      </c>
      <c r="J15" s="19">
        <f>D15*H15</f>
        <v>0.14151642954925223</v>
      </c>
    </row>
    <row r="16" spans="1:10" ht="12.75" customHeight="1">
      <c r="A16" s="367" t="s">
        <v>94</v>
      </c>
      <c r="B16" s="6">
        <f>'Table 3.6-PARS RTS Summary'!B63</f>
        <v>1114.2541582697568</v>
      </c>
      <c r="D16" s="61">
        <f>F16/B16</f>
        <v>3.0195033259639623</v>
      </c>
      <c r="F16" s="81">
        <f>'Table 3.6-PARS RTS Summary'!F63</f>
        <v>3364.494136864706</v>
      </c>
      <c r="H16" s="99">
        <f>B16/$B$38</f>
        <v>9.0490536877104832E-4</v>
      </c>
      <c r="J16" s="19">
        <f>D16*H16</f>
        <v>2.7323647706868261E-3</v>
      </c>
    </row>
    <row r="17" spans="1:10" ht="12.75" customHeight="1">
      <c r="A17" s="367" t="s">
        <v>95</v>
      </c>
      <c r="B17" s="6">
        <f>'Table 3.6-PARS RTS Summary'!B64</f>
        <v>921.92894181827955</v>
      </c>
      <c r="D17" s="61">
        <f>F17/B17</f>
        <v>0.91297580183917582</v>
      </c>
      <c r="F17" s="81">
        <f>'Table 3.6-PARS RTS Summary'!F64</f>
        <v>841.69881489528666</v>
      </c>
      <c r="H17" s="99">
        <f>B17/$B$38</f>
        <v>7.4871468316728667E-4</v>
      </c>
      <c r="J17" s="19">
        <f>D17*H17</f>
        <v>6.8355838821341803E-4</v>
      </c>
    </row>
    <row r="18" spans="1:10" ht="12.75" customHeight="1">
      <c r="A18" s="367" t="s">
        <v>205</v>
      </c>
      <c r="B18" s="6">
        <f>'Table 3.6-PARS RTS Summary'!B65</f>
        <v>106.06226187824412</v>
      </c>
      <c r="D18" s="61">
        <f>F18/B18</f>
        <v>0.52776229856710555</v>
      </c>
      <c r="F18" s="81">
        <f>'Table 3.6-PARS RTS Summary'!F65</f>
        <v>55.975663120088406</v>
      </c>
      <c r="H18" s="99">
        <f>B18/$B$38</f>
        <v>8.613502537577112E-5</v>
      </c>
      <c r="J18" s="19">
        <f>D18*H18</f>
        <v>4.545881897945293E-5</v>
      </c>
    </row>
    <row r="19" spans="1:10" ht="12.75" customHeight="1">
      <c r="A19" s="250" t="s">
        <v>97</v>
      </c>
      <c r="B19" s="6">
        <f>B15</f>
        <v>1124462.2900584454</v>
      </c>
      <c r="D19" s="61">
        <f>F19/B19</f>
        <v>0.15875877631821939</v>
      </c>
      <c r="F19" s="81">
        <f>SUM(F15:F18)</f>
        <v>178518.25718566147</v>
      </c>
      <c r="H19" s="99">
        <f>B19/$B$38</f>
        <v>0.91319557185635769</v>
      </c>
      <c r="J19" s="19">
        <f>SUM(J15:J18)</f>
        <v>0.14497781152713193</v>
      </c>
    </row>
    <row r="20" spans="1:10" ht="5" customHeight="1">
      <c r="A20" s="258"/>
      <c r="B20" s="6"/>
      <c r="F20" s="81"/>
      <c r="H20" s="104"/>
      <c r="J20" s="19"/>
    </row>
    <row r="21" spans="1:10" ht="12.75" customHeight="1">
      <c r="A21" s="258" t="s">
        <v>497</v>
      </c>
      <c r="B21" s="6">
        <f>B12</f>
        <v>1124462.2900584454</v>
      </c>
      <c r="D21" s="61">
        <f>F21/B21</f>
        <v>0.3064139945631732</v>
      </c>
      <c r="F21" s="81">
        <f>SUM(F12,F19)</f>
        <v>344550.98203246179</v>
      </c>
      <c r="H21" s="99">
        <f>B21/$B$38</f>
        <v>0.91319557185635769</v>
      </c>
      <c r="J21" s="19">
        <f>J12+J19</f>
        <v>0.27981590298990788</v>
      </c>
    </row>
    <row r="22" spans="1:10" ht="12.75" customHeight="1">
      <c r="A22" s="11"/>
      <c r="B22" s="6"/>
      <c r="F22" s="81"/>
      <c r="H22" s="104"/>
      <c r="J22" s="19"/>
    </row>
    <row r="23" spans="1:10" ht="12.75" customHeight="1">
      <c r="A23" s="14" t="s">
        <v>472</v>
      </c>
      <c r="B23" s="6"/>
      <c r="D23" s="61"/>
      <c r="F23" s="108"/>
      <c r="H23" s="104"/>
      <c r="J23" s="19"/>
    </row>
    <row r="24" spans="1:10" ht="12.75" customHeight="1">
      <c r="A24" s="258" t="s">
        <v>512</v>
      </c>
      <c r="B24" s="6">
        <f>'Table 3.7-NonPARS RTS Summary'!B8</f>
        <v>36777.475298627964</v>
      </c>
      <c r="D24" s="61">
        <f>F24/B24</f>
        <v>0.63877381175065717</v>
      </c>
      <c r="F24" s="108">
        <f>'Table 3.7-NonPARS RTS Summary'!F8</f>
        <v>23492.488083070224</v>
      </c>
      <c r="H24" s="99">
        <f>B24/$B$38</f>
        <v>2.9867633520211698E-2</v>
      </c>
      <c r="J24" s="19">
        <f>D24*H24</f>
        <v>1.9078662111677323E-2</v>
      </c>
    </row>
    <row r="25" spans="1:10" ht="12.75" customHeight="1">
      <c r="A25" s="258" t="s">
        <v>514</v>
      </c>
      <c r="B25" s="6">
        <f>'Table 3.7-NonPARS RTS Summary'!B14</f>
        <v>59033.920457764703</v>
      </c>
      <c r="D25" s="61">
        <f>F25/B25</f>
        <v>0.48596784976898233</v>
      </c>
      <c r="F25" s="81">
        <f>'Table 3.7-NonPARS RTS Summary'!F14</f>
        <v>28688.58738829305</v>
      </c>
      <c r="H25" s="99">
        <f>B25/$B$38</f>
        <v>4.7942483467853028E-2</v>
      </c>
      <c r="J25" s="19">
        <f>D25*H25</f>
        <v>2.3298505603457521E-2</v>
      </c>
    </row>
    <row r="26" spans="1:10" ht="12.75" customHeight="1">
      <c r="A26" s="258" t="s">
        <v>515</v>
      </c>
      <c r="B26" s="6">
        <f>'Table 3.7-NonPARS RTS Summary'!B20</f>
        <v>11075.134430338496</v>
      </c>
      <c r="D26" s="61">
        <f>F26/B26</f>
        <v>0.17376955284258006</v>
      </c>
      <c r="F26" s="81">
        <f>'Table 3.7-NonPARS RTS Summary'!F20</f>
        <v>1924.5211576313829</v>
      </c>
      <c r="H26" s="99">
        <f>B26/$B$38</f>
        <v>8.9943111555775904E-3</v>
      </c>
      <c r="J26" s="19">
        <f>D26*H26</f>
        <v>1.5629374276317474E-3</v>
      </c>
    </row>
    <row r="27" spans="1:10" ht="12.75" customHeight="1">
      <c r="A27" s="258" t="s">
        <v>97</v>
      </c>
      <c r="B27" s="6">
        <f>SUM(B24:B26)</f>
        <v>106886.53018673116</v>
      </c>
      <c r="D27" s="61">
        <f>F27/B27</f>
        <v>0.50619658561721459</v>
      </c>
      <c r="F27" s="81">
        <f>SUM(F24:F26)</f>
        <v>54105.596628994659</v>
      </c>
      <c r="H27" s="99">
        <f>B27/$B$38</f>
        <v>8.6804428143642309E-2</v>
      </c>
      <c r="J27" s="19">
        <f>SUM(J24:J26)</f>
        <v>4.3940105142766597E-2</v>
      </c>
    </row>
    <row r="28" spans="1:10" ht="5" customHeight="1">
      <c r="A28" s="258"/>
      <c r="B28" s="6"/>
      <c r="D28" s="61"/>
      <c r="F28" s="81"/>
      <c r="H28" s="104"/>
      <c r="J28" s="19"/>
    </row>
    <row r="29" spans="1:10" ht="12.75" customHeight="1">
      <c r="A29" s="258" t="s">
        <v>510</v>
      </c>
      <c r="B29" s="6"/>
      <c r="D29" s="61"/>
      <c r="F29" s="81"/>
      <c r="H29" s="104"/>
      <c r="J29" s="19"/>
    </row>
    <row r="30" spans="1:10" ht="12.75" customHeight="1">
      <c r="A30" s="367" t="s">
        <v>315</v>
      </c>
      <c r="B30" s="6">
        <f>'Table 3.7-NonPARS RTS Summary'!B23</f>
        <v>106886.53018673116</v>
      </c>
      <c r="D30" s="61">
        <f>F30/B30</f>
        <v>0.70954607863294394</v>
      </c>
      <c r="F30" s="81">
        <f>'Table 3.7-NonPARS RTS Summary'!F23</f>
        <v>75840.91835267689</v>
      </c>
      <c r="H30" s="99">
        <f>B30/$B$38</f>
        <v>8.6804428143642309E-2</v>
      </c>
      <c r="J30" s="19">
        <f>D30*H30</f>
        <v>6.1591741597296558E-2</v>
      </c>
    </row>
    <row r="31" spans="1:10" ht="12.75" customHeight="1">
      <c r="A31" s="367" t="s">
        <v>94</v>
      </c>
      <c r="B31" s="6">
        <f>'Table 3.7-NonPARS RTS Summary'!B24</f>
        <v>8586.957651568202</v>
      </c>
      <c r="D31" s="61">
        <f>F31/B31</f>
        <v>3.0195033259639623</v>
      </c>
      <c r="F31" s="81">
        <f>'Table 3.7-NonPARS RTS Summary'!F24</f>
        <v>25928.347188821881</v>
      </c>
      <c r="H31" s="99">
        <f>B31/$B$38</f>
        <v>6.973619099954499E-3</v>
      </c>
      <c r="J31" s="19">
        <f>D31*H31</f>
        <v>2.1056866066318423E-2</v>
      </c>
    </row>
    <row r="32" spans="1:10" ht="12.75" customHeight="1">
      <c r="A32" s="367" t="s">
        <v>95</v>
      </c>
      <c r="B32" s="6">
        <f>'Table 3.7-NonPARS RTS Summary'!B25</f>
        <v>5482.0229621495091</v>
      </c>
      <c r="D32" s="61">
        <f>F32/B32</f>
        <v>0.91297580183917582</v>
      </c>
      <c r="F32" s="81">
        <f>'Table 3.7-NonPARS RTS Summary'!F25</f>
        <v>5004.9543095692216</v>
      </c>
      <c r="H32" s="99">
        <f>B32/$B$38</f>
        <v>4.4520471145276051E-3</v>
      </c>
      <c r="J32" s="19">
        <f>D32*H32</f>
        <v>4.0646112842116291E-3</v>
      </c>
    </row>
    <row r="33" spans="1:11" ht="12.75" customHeight="1">
      <c r="A33" s="367" t="s">
        <v>205</v>
      </c>
      <c r="B33" s="6">
        <f>'Table 3.7-NonPARS RTS Summary'!B26</f>
        <v>955.4739989570661</v>
      </c>
      <c r="D33" s="61">
        <f>F33/B33</f>
        <v>0.52776229856710555</v>
      </c>
      <c r="F33" s="81">
        <f>'Table 3.7-NonPARS RTS Summary'!F26</f>
        <v>504.26315391068539</v>
      </c>
      <c r="H33" s="99">
        <f>B33/$B$38</f>
        <v>7.7595721313706992E-4</v>
      </c>
      <c r="J33" s="19">
        <f>D33*H33</f>
        <v>4.0952096239494544E-4</v>
      </c>
    </row>
    <row r="34" spans="1:11" ht="12.75" customHeight="1">
      <c r="A34" s="250" t="s">
        <v>97</v>
      </c>
      <c r="B34" s="6">
        <f>B30</f>
        <v>106886.53018673116</v>
      </c>
      <c r="D34" s="61">
        <f>F34/B34</f>
        <v>1.0036669991771907</v>
      </c>
      <c r="F34" s="81">
        <f>SUM(F30:F33)</f>
        <v>107278.48300497867</v>
      </c>
      <c r="H34" s="99">
        <f>B34/$B$38</f>
        <v>8.6804428143642309E-2</v>
      </c>
      <c r="J34" s="19">
        <f>SUM(J30:J33)</f>
        <v>8.7122739910221556E-2</v>
      </c>
    </row>
    <row r="35" spans="1:11" ht="5" customHeight="1">
      <c r="A35" s="258"/>
      <c r="B35" s="6"/>
      <c r="D35" s="61"/>
      <c r="F35" s="81"/>
      <c r="H35" s="104"/>
      <c r="J35" s="19"/>
    </row>
    <row r="36" spans="1:11" ht="12.75" customHeight="1">
      <c r="A36" s="166" t="s">
        <v>487</v>
      </c>
      <c r="B36" s="6">
        <f>B27</f>
        <v>106886.53018673116</v>
      </c>
      <c r="D36" s="61">
        <f>F36/B36</f>
        <v>1.5098635847944053</v>
      </c>
      <c r="F36" s="81">
        <f>SUM(F27,F34)</f>
        <v>161384.07963397334</v>
      </c>
      <c r="H36" s="99">
        <f>B36/$B$38</f>
        <v>8.6804428143642309E-2</v>
      </c>
      <c r="J36" s="19">
        <f>J27+J34</f>
        <v>0.13106284505298815</v>
      </c>
    </row>
    <row r="37" spans="1:11" ht="12.75" customHeight="1">
      <c r="A37" s="258"/>
      <c r="B37" s="6"/>
      <c r="D37" s="61"/>
      <c r="F37" s="81"/>
      <c r="H37" s="104"/>
      <c r="J37" s="19"/>
    </row>
    <row r="38" spans="1:11" ht="12.75" customHeight="1">
      <c r="A38" s="16" t="s">
        <v>264</v>
      </c>
      <c r="B38" s="260">
        <f>SUM(B21,B36)</f>
        <v>1231348.8202451766</v>
      </c>
      <c r="C38" s="5"/>
      <c r="D38" s="259"/>
      <c r="E38" s="5"/>
      <c r="F38" s="368">
        <f>SUM(F21,F36)</f>
        <v>505935.0616664351</v>
      </c>
      <c r="G38" s="5"/>
      <c r="H38" s="369"/>
      <c r="I38" s="5"/>
      <c r="J38" s="259">
        <f>SUM(J21,J36)</f>
        <v>0.41087874804289604</v>
      </c>
    </row>
    <row r="39" spans="1:11" ht="12.75" customHeight="1">
      <c r="A39" s="60"/>
      <c r="B39" s="6"/>
    </row>
    <row r="40" spans="1:11" ht="12.75" hidden="1" customHeight="1">
      <c r="A40" s="60"/>
      <c r="B40" s="6"/>
      <c r="F40" s="81"/>
      <c r="H40" s="104"/>
    </row>
    <row r="41" spans="1:11" ht="12.75" hidden="1" customHeight="1">
      <c r="A41" s="13" t="s">
        <v>186</v>
      </c>
      <c r="B41" s="105">
        <v>0</v>
      </c>
      <c r="D41" s="6"/>
      <c r="F41" s="81"/>
      <c r="G41" s="365" t="s">
        <v>306</v>
      </c>
      <c r="H41" s="75">
        <f>SUM('Table 3.14-Route UAA'!J99:J100,'Table 3.14-Route UAA'!J107)</f>
        <v>123710.93189041452</v>
      </c>
      <c r="J41" s="6">
        <f>'Table 3.6-PARS RTS Summary'!J71+'Table 3.7-NonPARS RTS Summary'!J32</f>
        <v>123710.93189041447</v>
      </c>
      <c r="K41" s="105">
        <f t="shared" ref="K41:K48" si="3">H41-J41</f>
        <v>0</v>
      </c>
    </row>
    <row r="42" spans="1:11" ht="12.75" hidden="1" customHeight="1">
      <c r="A42" s="258"/>
      <c r="B42" s="105">
        <v>0</v>
      </c>
      <c r="D42" s="61"/>
      <c r="F42" s="81"/>
      <c r="G42" s="36" t="s">
        <v>307</v>
      </c>
      <c r="H42" s="75">
        <f>SUM('Table 3.18-Nixie UAA'!I7,'Table 3.18-Nixie UAA'!I9:I10,'Table 3.18-Nixie UAA'!I16,'Table 3.18-Nixie UAA'!I19,'Table 3.18-Nixie UAA'!I25:I25,'Table 3.18-Nixie UAA'!I28,'Table 3.18-Nixie UAA'!I33:I34,'Table 3.18-Nixie UAA'!I36)+SUM('Table 3.31-Rating Post Due'!H8,'Table 3.31-Rating Post Due'!H13,'Table 3.31-Rating Post Due'!H25)</f>
        <v>27168.225746674947</v>
      </c>
      <c r="J42" s="6">
        <f>'Table 3.6-PARS RTS Summary'!J72+'Table 3.7-NonPARS RTS Summary'!J33</f>
        <v>27168.225746674947</v>
      </c>
      <c r="K42" s="105">
        <f t="shared" si="3"/>
        <v>0</v>
      </c>
    </row>
    <row r="43" spans="1:11" ht="12.75" hidden="1" customHeight="1">
      <c r="A43" s="258"/>
      <c r="B43" s="105">
        <v>0</v>
      </c>
      <c r="D43" s="61"/>
      <c r="F43" s="81"/>
      <c r="G43" s="36" t="s">
        <v>308</v>
      </c>
      <c r="H43" s="75">
        <f>SUM('Table 3.20-CFS Non-CIOSS'!H14,'Table 3.20-CFS Non-CIOSS'!H50,'Table 3.20-CFS Non-CIOSS'!H71,'Table 3.21-CFS CIOSS Rejs'!H14,'Table 3.21-CFS CIOSS Rejs'!H71)</f>
        <v>23268.079210740812</v>
      </c>
      <c r="J43" s="6">
        <f>'Table 3.6-PARS RTS Summary'!J73+'Table 3.7-NonPARS RTS Summary'!J34</f>
        <v>23268.079210740812</v>
      </c>
      <c r="K43" s="105">
        <f t="shared" si="3"/>
        <v>0</v>
      </c>
    </row>
    <row r="44" spans="1:11" ht="12.75" hidden="1" customHeight="1">
      <c r="A44" s="258"/>
      <c r="B44" s="6"/>
      <c r="D44" s="61"/>
      <c r="F44" s="81"/>
      <c r="G44" s="365" t="s">
        <v>495</v>
      </c>
      <c r="H44" s="75">
        <f>SUM('Table 3.23-CIOSS Summary'!I5,'Table 3.23-CIOSS Summary'!I9,'Table 3.23-CIOSS Summary'!I12)</f>
        <v>30449.430601258893</v>
      </c>
      <c r="J44" s="6">
        <f>'Table 3.6-PARS RTS Summary'!J74</f>
        <v>30449.430601258897</v>
      </c>
      <c r="K44" s="105">
        <f t="shared" si="3"/>
        <v>0</v>
      </c>
    </row>
    <row r="45" spans="1:11" ht="12.75" hidden="1" customHeight="1">
      <c r="A45" s="258"/>
      <c r="B45" s="6"/>
      <c r="D45" s="61"/>
      <c r="F45" s="81"/>
      <c r="G45" s="365" t="s">
        <v>496</v>
      </c>
      <c r="H45" s="75">
        <f>SUM('Table 3.25-REC Summary'!K5,'Table 3.25-REC Summary'!K9,'Table 3.25-REC Summary'!K12)</f>
        <v>15541.654026705819</v>
      </c>
      <c r="J45" s="6">
        <f>'Table 3.6-PARS RTS Summary'!J75</f>
        <v>15541.654026705821</v>
      </c>
      <c r="K45" s="105">
        <f t="shared" si="3"/>
        <v>0</v>
      </c>
    </row>
    <row r="46" spans="1:11" ht="12.75" hidden="1" customHeight="1">
      <c r="A46" s="60"/>
      <c r="B46" s="6"/>
      <c r="D46" s="61"/>
      <c r="F46" s="108"/>
      <c r="G46" s="36" t="s">
        <v>511</v>
      </c>
      <c r="H46" s="75">
        <f>'Table 3.6-PARS RTS Summary'!H76+'Table 3.7-NonPARS RTS Summary'!H35</f>
        <v>250097.00692345825</v>
      </c>
      <c r="J46" s="6">
        <f>'Table 3.6-PARS RTS Summary'!J76+'Table 3.7-NonPARS RTS Summary'!J35</f>
        <v>250097.00692345825</v>
      </c>
      <c r="K46" s="105">
        <f t="shared" si="3"/>
        <v>0</v>
      </c>
    </row>
    <row r="47" spans="1:11" ht="12.75" hidden="1" customHeight="1">
      <c r="A47" s="14"/>
      <c r="B47" s="6"/>
      <c r="D47" s="61"/>
      <c r="F47" s="108"/>
      <c r="G47" s="36" t="s">
        <v>310</v>
      </c>
      <c r="H47" s="75">
        <f>SUM('Table 3.32-Accounting Post Due'!D10:D11)*'Table 3.32-Accounting Post Due'!F10+SUM('Table 3.33-Delivery Post Due'!D14:D18)*'Table 3.33-Delivery Post Due'!F14+SUM('Table 3.34-Window Post Due'!D10:D11)*'Table 3.34-Window Post Due'!F10</f>
        <v>35699.733267181866</v>
      </c>
      <c r="J47" s="6">
        <f>'Table 3.6-PARS RTS Summary'!J77+'Table 3.7-NonPARS RTS Summary'!J36</f>
        <v>35699.733267181866</v>
      </c>
      <c r="K47" s="105">
        <f t="shared" si="3"/>
        <v>0</v>
      </c>
    </row>
    <row r="48" spans="1:11" ht="12.75" hidden="1" customHeight="1">
      <c r="A48" s="14"/>
      <c r="B48" s="6"/>
      <c r="D48" s="61"/>
      <c r="F48" s="108"/>
      <c r="G48" s="36" t="s">
        <v>309</v>
      </c>
      <c r="H48" s="6">
        <f>SUM(H41:H47)</f>
        <v>505935.0616664351</v>
      </c>
      <c r="J48" s="6">
        <f>SUM(J41:J47)</f>
        <v>505935.06166643504</v>
      </c>
      <c r="K48" s="105">
        <f t="shared" si="3"/>
        <v>0</v>
      </c>
    </row>
    <row r="49" spans="1:8" ht="12.75" customHeight="1">
      <c r="A49" s="14"/>
      <c r="B49" s="6"/>
      <c r="D49" s="61"/>
      <c r="F49" s="108"/>
      <c r="H49" s="104"/>
    </row>
    <row r="50" spans="1:8">
      <c r="A50" s="204"/>
      <c r="B50" s="204"/>
      <c r="C50" s="204"/>
      <c r="D50" s="204"/>
      <c r="E50" s="204"/>
      <c r="F50" s="204"/>
      <c r="H50" s="167"/>
    </row>
    <row r="51" spans="1:8">
      <c r="A51" s="12" t="s">
        <v>230</v>
      </c>
    </row>
    <row r="52" spans="1:8">
      <c r="A52" s="11" t="s">
        <v>596</v>
      </c>
      <c r="D52" s="11"/>
    </row>
    <row r="53" spans="1:8">
      <c r="A53" s="11" t="s">
        <v>597</v>
      </c>
      <c r="D53" s="11"/>
    </row>
    <row r="54" spans="1:8">
      <c r="A54" s="12"/>
      <c r="D54" s="11"/>
    </row>
    <row r="55" spans="1:8">
      <c r="A55" s="11"/>
    </row>
    <row r="56" spans="1:8">
      <c r="A56" s="11"/>
    </row>
  </sheetData>
  <phoneticPr fontId="5" type="noConversion"/>
  <printOptions horizontalCentered="1"/>
  <pageMargins left="0.75" right="0.75" top="1" bottom="1" header="0.5" footer="0.5"/>
  <pageSetup scale="87" orientation="landscape" r:id="rId1"/>
  <headerFooter alignWithMargins="0">
    <oddFooter>&amp;L&amp;F</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L93"/>
  <sheetViews>
    <sheetView zoomScale="70" zoomScaleNormal="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2" s="12" customFormat="1" ht="15.75" customHeight="1">
      <c r="A1" s="117" t="s">
        <v>18</v>
      </c>
      <c r="B1" s="16"/>
      <c r="C1" s="16"/>
      <c r="D1" s="16"/>
      <c r="E1" s="16"/>
      <c r="F1" s="16"/>
      <c r="G1" s="16"/>
      <c r="H1" s="16"/>
      <c r="I1" s="16"/>
      <c r="J1" s="16"/>
    </row>
    <row r="2" spans="1:12" s="12" customFormat="1" ht="16">
      <c r="A2" s="117" t="s">
        <v>780</v>
      </c>
      <c r="B2" s="16"/>
      <c r="C2" s="16"/>
      <c r="D2" s="16"/>
      <c r="E2" s="16"/>
      <c r="F2" s="16"/>
      <c r="G2" s="16"/>
      <c r="H2" s="16"/>
      <c r="I2" s="16"/>
      <c r="J2" s="16"/>
    </row>
    <row r="3" spans="1:12" ht="25.5" customHeight="1">
      <c r="B3" s="125" t="s">
        <v>104</v>
      </c>
      <c r="C3" s="125"/>
      <c r="D3" s="126" t="s">
        <v>99</v>
      </c>
      <c r="E3" s="126"/>
      <c r="F3" s="125" t="s">
        <v>105</v>
      </c>
      <c r="G3" s="125"/>
      <c r="H3" s="127" t="s">
        <v>92</v>
      </c>
      <c r="I3" s="127"/>
      <c r="J3" s="128" t="s">
        <v>100</v>
      </c>
    </row>
    <row r="4" spans="1:12">
      <c r="A4" s="14" t="s">
        <v>771</v>
      </c>
    </row>
    <row r="5" spans="1:12">
      <c r="A5" s="258" t="s">
        <v>474</v>
      </c>
      <c r="B5" s="6">
        <f>'Table 3.24-CIOSS Detail'!E12</f>
        <v>16936.488359984214</v>
      </c>
      <c r="C5" s="11" t="s">
        <v>239</v>
      </c>
      <c r="D5" s="61">
        <f>F5/B5</f>
        <v>4.8544836951515076E-2</v>
      </c>
      <c r="F5" s="108">
        <f>'Table 3.24-CIOSS Detail'!K12</f>
        <v>822.1790659666666</v>
      </c>
      <c r="G5" s="11" t="s">
        <v>239</v>
      </c>
      <c r="H5" s="99">
        <f>B5/$B$68</f>
        <v>1.50618553505284E-2</v>
      </c>
      <c r="J5" s="88">
        <f>D5*H5</f>
        <v>7.311753121787062E-4</v>
      </c>
    </row>
    <row r="6" spans="1:12">
      <c r="A6" s="258" t="s">
        <v>90</v>
      </c>
      <c r="B6" s="6">
        <f>'Table 3.28-REC Volume'!G12</f>
        <v>15460.981688496042</v>
      </c>
      <c r="C6" s="11" t="s">
        <v>575</v>
      </c>
      <c r="D6" s="61">
        <f>F6/B6</f>
        <v>0</v>
      </c>
      <c r="F6" s="108">
        <v>0</v>
      </c>
      <c r="H6" s="99">
        <f>B6/$B$68</f>
        <v>1.3749666685302926E-2</v>
      </c>
      <c r="J6" s="88">
        <f>D6*H6</f>
        <v>0</v>
      </c>
    </row>
    <row r="7" spans="1:12">
      <c r="A7" s="166" t="s">
        <v>492</v>
      </c>
      <c r="B7" s="6">
        <f>'Table 3.28-REC Volume'!H12</f>
        <v>1221.4593460884103</v>
      </c>
      <c r="C7" s="11" t="s">
        <v>575</v>
      </c>
      <c r="D7" s="61">
        <f>F7/B7</f>
        <v>0.10707332111359794</v>
      </c>
      <c r="F7" s="108">
        <f>'Table 3.26-REC Detail NonACS'!K12</f>
        <v>130.7857087909297</v>
      </c>
      <c r="G7" s="11" t="s">
        <v>583</v>
      </c>
      <c r="H7" s="99">
        <f>B7/$B$68</f>
        <v>1.0862608349675499E-3</v>
      </c>
      <c r="J7" s="88">
        <f>D7*H7</f>
        <v>1.1630955519560549E-4</v>
      </c>
    </row>
    <row r="8" spans="1:12">
      <c r="A8" s="166" t="s">
        <v>670</v>
      </c>
      <c r="B8" s="6">
        <v>0</v>
      </c>
      <c r="D8" s="61">
        <v>0</v>
      </c>
      <c r="F8" s="81">
        <v>0</v>
      </c>
      <c r="H8" s="99">
        <f>B8/$B$68</f>
        <v>0</v>
      </c>
      <c r="J8" s="88">
        <f>D8*H8</f>
        <v>0</v>
      </c>
    </row>
    <row r="9" spans="1:12">
      <c r="A9" s="166" t="s">
        <v>481</v>
      </c>
      <c r="B9" s="6">
        <v>254.04732539976249</v>
      </c>
      <c r="C9" s="11" t="s">
        <v>579</v>
      </c>
      <c r="D9" s="61">
        <f>'Table 3.18-Nixie UAA'!J33</f>
        <v>0.14916968828067051</v>
      </c>
      <c r="E9" s="11" t="s">
        <v>580</v>
      </c>
      <c r="F9" s="108">
        <f>B9*D9</f>
        <v>37.896160338420636</v>
      </c>
      <c r="H9" s="99">
        <f>B9/$B$68</f>
        <v>2.2592783025792535E-4</v>
      </c>
      <c r="J9" s="88">
        <f>D9*H9</f>
        <v>3.3701584013502964E-5</v>
      </c>
      <c r="K9" s="6"/>
      <c r="L9" s="6"/>
    </row>
    <row r="10" spans="1:12">
      <c r="A10" s="60" t="s">
        <v>97</v>
      </c>
      <c r="B10" s="6">
        <f>B5</f>
        <v>16936.488359984214</v>
      </c>
      <c r="D10" s="61">
        <f>F10/B10</f>
        <v>5.8504508965218596E-2</v>
      </c>
      <c r="F10" s="81">
        <f>SUM(F5:F9)</f>
        <v>990.86093509601687</v>
      </c>
      <c r="H10" s="104"/>
      <c r="J10" s="19">
        <f>SUM(J5:J9)</f>
        <v>8.8118645138781466E-4</v>
      </c>
      <c r="L10" s="6"/>
    </row>
    <row r="11" spans="1:12" ht="5" customHeight="1">
      <c r="A11" s="60"/>
      <c r="B11" s="6"/>
      <c r="F11" s="81"/>
      <c r="H11" s="104"/>
      <c r="L11" s="6"/>
    </row>
    <row r="12" spans="1:12">
      <c r="A12" s="14" t="s">
        <v>598</v>
      </c>
      <c r="B12" s="6"/>
      <c r="F12" s="81"/>
      <c r="H12" s="104"/>
      <c r="K12" s="81"/>
      <c r="L12" s="6"/>
    </row>
    <row r="13" spans="1:12">
      <c r="A13" s="258" t="s">
        <v>474</v>
      </c>
      <c r="B13" s="6">
        <f>SUM('Table 3.24-CIOSS Detail'!E5,'Table 3.24-CIOSS Detail'!E9)</f>
        <v>169632.3484860661</v>
      </c>
      <c r="C13" s="11" t="s">
        <v>239</v>
      </c>
      <c r="D13" s="61">
        <f>F13/B13</f>
        <v>4.8544836951515062E-2</v>
      </c>
      <c r="F13" s="108">
        <f>SUM('Table 3.24-CIOSS Detail'!K5,'Table 3.24-CIOSS Detail'!K9)</f>
        <v>8234.7746989586612</v>
      </c>
      <c r="G13" s="11" t="s">
        <v>239</v>
      </c>
      <c r="H13" s="99">
        <f>B13/$B$68</f>
        <v>0.15085641375954834</v>
      </c>
      <c r="J13" s="88">
        <f>D13*H13</f>
        <v>7.323300009047567E-3</v>
      </c>
      <c r="K13" s="81"/>
      <c r="L13" s="6"/>
    </row>
    <row r="14" spans="1:12">
      <c r="A14" s="258" t="s">
        <v>90</v>
      </c>
      <c r="B14" s="6">
        <f>SUM('Table 3.28-REC Volume'!G5,'Table 3.28-REC Volume'!G9)</f>
        <v>154853.98023336707</v>
      </c>
      <c r="C14" s="11" t="s">
        <v>575</v>
      </c>
      <c r="D14" s="61">
        <f>F14/B14</f>
        <v>0</v>
      </c>
      <c r="F14" s="108">
        <v>0</v>
      </c>
      <c r="H14" s="99">
        <f>B14/$B$68</f>
        <v>0.13771380472467273</v>
      </c>
      <c r="J14" s="88">
        <f>D14*H14</f>
        <v>0</v>
      </c>
      <c r="K14" s="81"/>
      <c r="L14" s="6"/>
    </row>
    <row r="15" spans="1:12">
      <c r="A15" s="166" t="s">
        <v>492</v>
      </c>
      <c r="B15" s="6">
        <f>SUM('Table 3.28-REC Volume'!H5)</f>
        <v>11944.813145217144</v>
      </c>
      <c r="C15" s="11" t="s">
        <v>575</v>
      </c>
      <c r="D15" s="61">
        <f>F15/B15</f>
        <v>0.10707332111359791</v>
      </c>
      <c r="F15" s="81">
        <f>SUM('Table 3.26-REC Detail NonACS'!K5)</f>
        <v>1278.9708135397607</v>
      </c>
      <c r="G15" s="11" t="s">
        <v>583</v>
      </c>
      <c r="H15" s="99">
        <f>B15/$B$68</f>
        <v>1.0622688951708906E-2</v>
      </c>
      <c r="J15" s="88">
        <f>D15*H15</f>
        <v>1.1374065852161963E-3</v>
      </c>
      <c r="K15" s="81"/>
      <c r="L15" s="6"/>
    </row>
    <row r="16" spans="1:12">
      <c r="A16" s="166" t="s">
        <v>670</v>
      </c>
      <c r="B16" s="6">
        <f>SUM('Table 3.28-REC Volume'!H9)</f>
        <v>289.06988019089027</v>
      </c>
      <c r="C16" s="11" t="s">
        <v>575</v>
      </c>
      <c r="D16" s="61">
        <f>F16/B16</f>
        <v>5.3536660556798968E-2</v>
      </c>
      <c r="F16" s="81">
        <f>SUM('Table 3.26-REC Detail NonACS'!K9)</f>
        <v>15.475836052974239</v>
      </c>
      <c r="G16" s="11" t="s">
        <v>583</v>
      </c>
      <c r="H16" s="99">
        <f>B16/$B$68</f>
        <v>2.570738767734625E-4</v>
      </c>
      <c r="J16" s="88">
        <f>D16*H16</f>
        <v>1.3762876878841228E-5</v>
      </c>
      <c r="L16" s="6"/>
    </row>
    <row r="17" spans="1:12">
      <c r="A17" s="166" t="s">
        <v>482</v>
      </c>
      <c r="B17" s="6">
        <v>2544.4852272909911</v>
      </c>
      <c r="C17" s="11" t="s">
        <v>584</v>
      </c>
      <c r="D17" s="61">
        <f>'Table 3.21-CFS CIOSS Rejs'!I13</f>
        <v>0.32800426929229809</v>
      </c>
      <c r="E17" s="11" t="s">
        <v>585</v>
      </c>
      <c r="F17" s="81">
        <f>B17*D17</f>
        <v>834.60201770262859</v>
      </c>
      <c r="H17" s="99">
        <f>B17/$B$68</f>
        <v>2.2628462063932248E-3</v>
      </c>
      <c r="J17" s="88">
        <f>D17*H17</f>
        <v>7.4222321644885848E-4</v>
      </c>
      <c r="L17" s="6"/>
    </row>
    <row r="18" spans="1:12">
      <c r="A18" s="60" t="s">
        <v>97</v>
      </c>
      <c r="B18" s="6">
        <f>B13</f>
        <v>169632.3484860661</v>
      </c>
      <c r="D18" s="61">
        <f>F18/B18</f>
        <v>6.1095796048035785E-2</v>
      </c>
      <c r="F18" s="81">
        <f>SUM(F13:F17)</f>
        <v>10363.823366254026</v>
      </c>
      <c r="H18" s="104"/>
      <c r="J18" s="19">
        <f>SUM(J13:J17)</f>
        <v>9.2166926875914632E-3</v>
      </c>
      <c r="L18" s="6"/>
    </row>
    <row r="19" spans="1:12" ht="5" customHeight="1">
      <c r="L19" s="6"/>
    </row>
    <row r="20" spans="1:12">
      <c r="A20" s="14" t="s">
        <v>599</v>
      </c>
      <c r="L20" s="6"/>
    </row>
    <row r="21" spans="1:12">
      <c r="A21" s="258" t="s">
        <v>302</v>
      </c>
      <c r="B21" s="6">
        <f>'Table 3.16-Route UAA PARS'!D107</f>
        <v>32624.112970369097</v>
      </c>
      <c r="C21" s="205" t="s">
        <v>586</v>
      </c>
      <c r="D21" s="61">
        <f t="shared" ref="D21:D26" si="0">F21/B21</f>
        <v>0.11671223007702483</v>
      </c>
      <c r="E21" s="205"/>
      <c r="F21" s="108">
        <f>'Table 3.16-Route UAA PARS'!J107</f>
        <v>3807.6329790565678</v>
      </c>
      <c r="G21" s="205" t="s">
        <v>586</v>
      </c>
      <c r="H21" s="99">
        <f t="shared" ref="H21:H27" si="1">B21/$B$68</f>
        <v>2.9013078747775006E-2</v>
      </c>
      <c r="J21" s="88">
        <f t="shared" ref="J21:J27" si="2">D21*H21</f>
        <v>3.386181122053156E-3</v>
      </c>
      <c r="L21" s="6"/>
    </row>
    <row r="22" spans="1:12">
      <c r="A22" s="258" t="s">
        <v>488</v>
      </c>
      <c r="B22" s="6">
        <f>'Table 3.18-Nixie UAA'!D7</f>
        <v>32624.112970369104</v>
      </c>
      <c r="C22" s="11" t="s">
        <v>580</v>
      </c>
      <c r="D22" s="61">
        <f t="shared" si="0"/>
        <v>7.5934757087251607E-3</v>
      </c>
      <c r="E22" s="205"/>
      <c r="F22" s="108">
        <f>'Table 3.18-Nixie UAA'!I7</f>
        <v>247.73040935920324</v>
      </c>
      <c r="G22" s="11" t="s">
        <v>580</v>
      </c>
      <c r="H22" s="99">
        <f t="shared" si="1"/>
        <v>2.9013078747775013E-2</v>
      </c>
      <c r="J22" s="88">
        <f t="shared" si="2"/>
        <v>2.2031010870655977E-4</v>
      </c>
      <c r="L22" s="6"/>
    </row>
    <row r="23" spans="1:12">
      <c r="A23" s="258" t="s">
        <v>474</v>
      </c>
      <c r="B23" s="6">
        <f>SUM('Table 3.24-CIOSS Detail'!E20,'Table 3.24-CIOSS Detail'!E24)</f>
        <v>32624.1129703691</v>
      </c>
      <c r="C23" s="11" t="s">
        <v>239</v>
      </c>
      <c r="D23" s="61">
        <f t="shared" si="0"/>
        <v>4.8544836951515076E-2</v>
      </c>
      <c r="E23" s="205"/>
      <c r="F23" s="108">
        <f>SUM('Table 3.24-CIOSS Detail'!K20,'Table 3.24-CIOSS Detail'!K24)</f>
        <v>1583.7322448343762</v>
      </c>
      <c r="G23" s="11" t="s">
        <v>239</v>
      </c>
      <c r="H23" s="99">
        <f t="shared" si="1"/>
        <v>2.901307874777501E-2</v>
      </c>
      <c r="J23" s="88">
        <f t="shared" si="2"/>
        <v>1.4084351772722051E-3</v>
      </c>
      <c r="L23" s="6"/>
    </row>
    <row r="24" spans="1:12">
      <c r="A24" s="258" t="s">
        <v>90</v>
      </c>
      <c r="B24" s="6">
        <f>SUM('Table 3.28-REC Volume'!G20,'Table 3.28-REC Volume'!G24)</f>
        <v>27185.419880426994</v>
      </c>
      <c r="C24" s="11" t="s">
        <v>575</v>
      </c>
      <c r="D24" s="61">
        <f t="shared" si="0"/>
        <v>0</v>
      </c>
      <c r="F24" s="108">
        <v>0</v>
      </c>
      <c r="H24" s="99">
        <f t="shared" si="1"/>
        <v>2.4176373116980201E-2</v>
      </c>
      <c r="J24" s="88">
        <f t="shared" si="2"/>
        <v>0</v>
      </c>
      <c r="L24" s="6"/>
    </row>
    <row r="25" spans="1:12">
      <c r="A25" s="166" t="s">
        <v>492</v>
      </c>
      <c r="B25" s="6">
        <f>SUM('Table 3.28-REC Volume'!H20)</f>
        <v>4832.3854812791642</v>
      </c>
      <c r="C25" s="11" t="s">
        <v>575</v>
      </c>
      <c r="D25" s="61">
        <f t="shared" si="0"/>
        <v>0.10707332111359794</v>
      </c>
      <c r="E25" s="205"/>
      <c r="F25" s="108">
        <f>SUM('Table 3.26-REC Detail NonACS'!K20)</f>
        <v>517.41956238169246</v>
      </c>
      <c r="G25" s="11" t="s">
        <v>583</v>
      </c>
      <c r="H25" s="99">
        <f t="shared" si="1"/>
        <v>4.2975078168499495E-3</v>
      </c>
      <c r="J25" s="88">
        <f t="shared" si="2"/>
        <v>4.6014843446177186E-4</v>
      </c>
      <c r="L25" s="6"/>
    </row>
    <row r="26" spans="1:12" ht="12.75" customHeight="1">
      <c r="A26" s="166" t="s">
        <v>670</v>
      </c>
      <c r="B26" s="6">
        <f>SUM('Table 3.28-REC Volume'!H24)</f>
        <v>116.94591410740497</v>
      </c>
      <c r="C26" s="11" t="s">
        <v>575</v>
      </c>
      <c r="D26" s="61">
        <f t="shared" si="0"/>
        <v>5.3536660556798961E-2</v>
      </c>
      <c r="E26" s="205"/>
      <c r="F26" s="108">
        <f>SUM('Table 3.26-REC Detail NonACS'!K24)</f>
        <v>6.2608937070727073</v>
      </c>
      <c r="G26" s="11" t="s">
        <v>583</v>
      </c>
      <c r="H26" s="99">
        <f t="shared" si="1"/>
        <v>1.0400163272823186E-4</v>
      </c>
      <c r="J26" s="88">
        <f t="shared" si="2"/>
        <v>5.567900108724223E-6</v>
      </c>
      <c r="L26" s="6"/>
    </row>
    <row r="27" spans="1:12">
      <c r="A27" s="166" t="s">
        <v>482</v>
      </c>
      <c r="B27" s="6">
        <f>'Table 3.21-CFS CIOSS Rejs'!B14-B17</f>
        <v>489.36169455553636</v>
      </c>
      <c r="C27" s="205" t="s">
        <v>587</v>
      </c>
      <c r="D27" s="61">
        <f>'Table 3.21-CFS CIOSS Rejs'!I13</f>
        <v>0.32800426929229809</v>
      </c>
      <c r="E27" s="11" t="s">
        <v>585</v>
      </c>
      <c r="F27" s="81">
        <f>B27*D27</f>
        <v>160.51272504232946</v>
      </c>
      <c r="H27" s="99">
        <f t="shared" si="1"/>
        <v>4.3519618121662498E-4</v>
      </c>
      <c r="J27" s="88">
        <f t="shared" si="2"/>
        <v>1.4274620541875762E-4</v>
      </c>
      <c r="L27" s="6"/>
    </row>
    <row r="28" spans="1:12" ht="12.75" customHeight="1">
      <c r="A28" s="60" t="s">
        <v>97</v>
      </c>
      <c r="B28" s="6">
        <f>B21</f>
        <v>32624.112970369097</v>
      </c>
      <c r="D28" s="61">
        <f>F28/B28</f>
        <v>0.19382255143992355</v>
      </c>
      <c r="F28" s="81">
        <f>SUM(F21:F27)</f>
        <v>6323.2888143812415</v>
      </c>
      <c r="H28" s="104"/>
      <c r="J28" s="19">
        <f>SUM(J21:J27)</f>
        <v>5.6233889480211746E-3</v>
      </c>
      <c r="L28" s="6"/>
    </row>
    <row r="29" spans="1:12" ht="5" customHeight="1">
      <c r="A29" s="60"/>
      <c r="B29" s="6"/>
      <c r="F29" s="81"/>
      <c r="H29" s="104"/>
      <c r="L29" s="6"/>
    </row>
    <row r="30" spans="1:12" ht="12.75" customHeight="1">
      <c r="A30" s="14" t="s">
        <v>600</v>
      </c>
      <c r="B30" s="6"/>
      <c r="F30" s="81"/>
      <c r="H30" s="104"/>
      <c r="L30" s="6"/>
    </row>
    <row r="31" spans="1:12" ht="12.75" customHeight="1">
      <c r="A31" s="258" t="s">
        <v>302</v>
      </c>
      <c r="B31" s="6">
        <f>'Table 3.16-Route UAA PARS'!D99</f>
        <v>770334.7555022093</v>
      </c>
      <c r="C31" s="205" t="s">
        <v>586</v>
      </c>
      <c r="D31" s="61">
        <f>F31/B31</f>
        <v>0.11690356747974813</v>
      </c>
      <c r="F31" s="108">
        <f>'Table 3.16-Route UAA PARS'!J99</f>
        <v>90054.881071847805</v>
      </c>
      <c r="G31" s="205" t="s">
        <v>586</v>
      </c>
      <c r="H31" s="99">
        <f t="shared" ref="H31:H37" si="3">B31/$B$68</f>
        <v>0.68506944369132217</v>
      </c>
      <c r="J31" s="88">
        <f t="shared" ref="J31:J37" si="4">D31*H31</f>
        <v>8.0087061938881987E-2</v>
      </c>
      <c r="L31" s="6"/>
    </row>
    <row r="32" spans="1:12" ht="12.75" customHeight="1">
      <c r="A32" s="258" t="s">
        <v>488</v>
      </c>
      <c r="B32" s="6">
        <f>'Table 3.18-Nixie UAA'!D9</f>
        <v>770334.75550220942</v>
      </c>
      <c r="C32" s="11" t="s">
        <v>580</v>
      </c>
      <c r="D32" s="61">
        <f>F32/B32</f>
        <v>9.1023433387172076E-3</v>
      </c>
      <c r="F32" s="108">
        <f>'Table 3.18-Nixie UAA'!I9</f>
        <v>7011.8514303278844</v>
      </c>
      <c r="G32" s="11" t="s">
        <v>580</v>
      </c>
      <c r="H32" s="99">
        <f t="shared" si="3"/>
        <v>0.68506944369132228</v>
      </c>
      <c r="J32" s="88">
        <f t="shared" si="4"/>
        <v>6.2357372873424102E-3</v>
      </c>
      <c r="L32" s="6"/>
    </row>
    <row r="33" spans="1:12" ht="12.75" customHeight="1">
      <c r="A33" s="258" t="s">
        <v>474</v>
      </c>
      <c r="B33" s="6">
        <f>SUM('Table 3.24-CIOSS Detail'!E27,'Table 3.24-CIOSS Detail'!E34)</f>
        <v>770334.75550220918</v>
      </c>
      <c r="C33" s="11" t="s">
        <v>239</v>
      </c>
      <c r="D33" s="61">
        <f>F33/B33</f>
        <v>2.1762259176260224E-2</v>
      </c>
      <c r="F33" s="108">
        <f>SUM('Table 3.24-CIOSS Detail'!K27,'Table 3.24-CIOSS Detail'!K34)</f>
        <v>16764.224601720129</v>
      </c>
      <c r="G33" s="11" t="s">
        <v>239</v>
      </c>
      <c r="H33" s="99">
        <f t="shared" si="3"/>
        <v>0.68506944369132206</v>
      </c>
      <c r="J33" s="88">
        <f t="shared" si="4"/>
        <v>1.490865878734696E-2</v>
      </c>
      <c r="L33" s="6"/>
    </row>
    <row r="34" spans="1:12" ht="12.75" customHeight="1">
      <c r="A34" s="258" t="s">
        <v>90</v>
      </c>
      <c r="B34" s="6">
        <f>SUM('Table 3.28-REC Volume'!G27,'Table 3.28-REC Volume'!G34)</f>
        <v>641913.96700453165</v>
      </c>
      <c r="C34" s="11" t="s">
        <v>575</v>
      </c>
      <c r="D34" s="61">
        <f>F34/B34</f>
        <v>0</v>
      </c>
      <c r="F34" s="108">
        <v>0</v>
      </c>
      <c r="H34" s="99">
        <f t="shared" si="3"/>
        <v>0.57086304510146557</v>
      </c>
      <c r="J34" s="88">
        <f t="shared" si="4"/>
        <v>0</v>
      </c>
      <c r="L34" s="6"/>
    </row>
    <row r="35" spans="1:12" ht="12.75" customHeight="1">
      <c r="A35" s="166" t="s">
        <v>492</v>
      </c>
      <c r="B35" s="6">
        <f>SUM('Table 3.28-REC Volume'!H27,'Table 3.28-REC Volume'!H34)</f>
        <v>116865.76716514434</v>
      </c>
      <c r="C35" s="11" t="s">
        <v>575</v>
      </c>
      <c r="D35" s="61">
        <f>F35/B35</f>
        <v>0.10707332111359792</v>
      </c>
      <c r="F35" s="108">
        <f>SUM('Table 3.26-REC Detail NonACS'!K27,'Table 3.26-REC Detail NonACS'!K34)</f>
        <v>12513.205814860468</v>
      </c>
      <c r="G35" s="11" t="s">
        <v>583</v>
      </c>
      <c r="H35" s="99">
        <f t="shared" si="3"/>
        <v>0.10393035693448652</v>
      </c>
      <c r="J35" s="88">
        <f t="shared" si="4"/>
        <v>1.1128168481497124E-2</v>
      </c>
      <c r="L35" s="6"/>
    </row>
    <row r="36" spans="1:12" ht="12.75" customHeight="1">
      <c r="A36" s="166" t="s">
        <v>670</v>
      </c>
      <c r="B36" s="6">
        <v>0</v>
      </c>
      <c r="C36" s="11"/>
      <c r="D36" s="61">
        <v>0</v>
      </c>
      <c r="F36" s="81">
        <v>0</v>
      </c>
      <c r="H36" s="99">
        <f t="shared" si="3"/>
        <v>0</v>
      </c>
      <c r="J36" s="88">
        <f t="shared" si="4"/>
        <v>0</v>
      </c>
      <c r="L36" s="6"/>
    </row>
    <row r="37" spans="1:12" ht="12.75" customHeight="1">
      <c r="A37" s="166" t="s">
        <v>481</v>
      </c>
      <c r="B37" s="6">
        <f>'Table 3.18-Nixie UAA'!D33-B9</f>
        <v>11555.021332533139</v>
      </c>
      <c r="C37" s="11" t="s">
        <v>615</v>
      </c>
      <c r="D37" s="61">
        <f>'Table 3.18-Nixie UAA'!J33</f>
        <v>0.14916968828067051</v>
      </c>
      <c r="E37" s="11" t="s">
        <v>580</v>
      </c>
      <c r="F37" s="81">
        <f>B37*D37</f>
        <v>1723.6589302504663</v>
      </c>
      <c r="H37" s="99">
        <f t="shared" si="3"/>
        <v>1.0276041655369831E-2</v>
      </c>
      <c r="J37" s="88">
        <f t="shared" si="4"/>
        <v>1.5328739304907031E-3</v>
      </c>
      <c r="L37" s="6"/>
    </row>
    <row r="38" spans="1:12" ht="12.75" customHeight="1">
      <c r="A38" s="60" t="s">
        <v>97</v>
      </c>
      <c r="B38" s="6">
        <f>B31</f>
        <v>770334.7555022093</v>
      </c>
      <c r="F38" s="81">
        <f>SUM(F31:F37)</f>
        <v>128067.82184900675</v>
      </c>
      <c r="H38" s="104"/>
      <c r="J38" s="19">
        <f>SUM(J31:J37)</f>
        <v>0.11389250042555918</v>
      </c>
      <c r="L38" s="6"/>
    </row>
    <row r="39" spans="1:12" ht="5" customHeight="1">
      <c r="A39" s="60"/>
      <c r="B39" s="6"/>
      <c r="F39" s="81"/>
      <c r="H39" s="104"/>
      <c r="L39" s="6"/>
    </row>
    <row r="40" spans="1:12" ht="15.75" customHeight="1">
      <c r="A40" s="117" t="s">
        <v>19</v>
      </c>
      <c r="B40" s="16"/>
      <c r="C40" s="16"/>
      <c r="D40" s="16"/>
      <c r="E40" s="16"/>
      <c r="F40" s="16"/>
      <c r="G40" s="16"/>
      <c r="H40" s="16"/>
      <c r="I40" s="16"/>
      <c r="J40" s="16"/>
      <c r="L40" s="6"/>
    </row>
    <row r="41" spans="1:12" ht="15.75" customHeight="1">
      <c r="A41" s="117" t="s">
        <v>780</v>
      </c>
      <c r="B41" s="16"/>
      <c r="C41" s="16"/>
      <c r="D41" s="16"/>
      <c r="E41" s="16"/>
      <c r="F41" s="16"/>
      <c r="G41" s="16"/>
      <c r="H41" s="16"/>
      <c r="I41" s="16"/>
      <c r="J41" s="16"/>
      <c r="L41" s="6"/>
    </row>
    <row r="42" spans="1:12" ht="25.5" customHeight="1">
      <c r="B42" s="125" t="s">
        <v>104</v>
      </c>
      <c r="C42" s="125"/>
      <c r="D42" s="126" t="s">
        <v>99</v>
      </c>
      <c r="E42" s="126"/>
      <c r="F42" s="125" t="s">
        <v>105</v>
      </c>
      <c r="G42" s="125"/>
      <c r="H42" s="127" t="s">
        <v>92</v>
      </c>
      <c r="I42" s="127"/>
      <c r="J42" s="128" t="s">
        <v>100</v>
      </c>
      <c r="L42" s="6"/>
    </row>
    <row r="43" spans="1:12" ht="12.75" customHeight="1">
      <c r="A43" s="14" t="s">
        <v>601</v>
      </c>
      <c r="B43" s="6"/>
      <c r="F43" s="81"/>
      <c r="H43" s="104"/>
      <c r="L43" s="6"/>
    </row>
    <row r="44" spans="1:12" ht="12.75" customHeight="1">
      <c r="A44" s="258" t="s">
        <v>474</v>
      </c>
      <c r="B44" s="6">
        <f>'Table 3.24-CIOSS Detail'!E15</f>
        <v>3847.4578945667217</v>
      </c>
      <c r="C44" s="11" t="s">
        <v>239</v>
      </c>
      <c r="D44" s="61">
        <f>F44/B44</f>
        <v>4.8544836951515069E-2</v>
      </c>
      <c r="F44" s="81">
        <f>'Table 3.24-CIOSS Detail'!K15</f>
        <v>186.77421616956096</v>
      </c>
      <c r="G44" s="11" t="s">
        <v>239</v>
      </c>
      <c r="H44" s="99">
        <f>B44/$B$68</f>
        <v>3.421597974945647E-3</v>
      </c>
      <c r="J44" s="88">
        <f>D44*H44</f>
        <v>1.6610091580737058E-4</v>
      </c>
      <c r="L44" s="6"/>
    </row>
    <row r="45" spans="1:12" ht="12.75" customHeight="1">
      <c r="A45" s="258" t="s">
        <v>90</v>
      </c>
      <c r="B45" s="6">
        <f>'Table 3.28-REC Volume'!G15</f>
        <v>3512.2674069615136</v>
      </c>
      <c r="C45" s="11" t="s">
        <v>575</v>
      </c>
      <c r="D45" s="61">
        <f>F45/B45</f>
        <v>0</v>
      </c>
      <c r="F45" s="81">
        <v>0</v>
      </c>
      <c r="H45" s="99">
        <f>B45/$B$68</f>
        <v>3.1235083986488857E-3</v>
      </c>
      <c r="J45" s="88">
        <f>D45*H45</f>
        <v>0</v>
      </c>
      <c r="L45" s="6"/>
    </row>
    <row r="46" spans="1:12" ht="12.75" customHeight="1">
      <c r="A46" s="166" t="s">
        <v>492</v>
      </c>
      <c r="B46" s="6">
        <v>0</v>
      </c>
      <c r="C46" s="11"/>
      <c r="D46" s="61">
        <v>0</v>
      </c>
      <c r="F46" s="108">
        <v>0</v>
      </c>
      <c r="H46" s="99">
        <f>B46/$B$68</f>
        <v>0</v>
      </c>
      <c r="J46" s="88">
        <f>D46*H46</f>
        <v>0</v>
      </c>
      <c r="L46" s="6"/>
    </row>
    <row r="47" spans="1:12" ht="12.75" customHeight="1">
      <c r="A47" s="166" t="s">
        <v>670</v>
      </c>
      <c r="B47" s="6">
        <f>'Table 3.28-REC Volume'!H15</f>
        <v>277.47861918670725</v>
      </c>
      <c r="C47" s="11" t="s">
        <v>575</v>
      </c>
      <c r="D47" s="61">
        <f>F47/B47</f>
        <v>5.3536660556798961E-2</v>
      </c>
      <c r="E47" s="205"/>
      <c r="F47" s="81">
        <f>SUM('Table 3.26-REC Detail NonACS'!K15)</f>
        <v>14.85527864716803</v>
      </c>
      <c r="G47" s="11" t="s">
        <v>583</v>
      </c>
      <c r="H47" s="99">
        <f>B47/$B$68</f>
        <v>2.4676560667257673E-4</v>
      </c>
      <c r="J47" s="88">
        <f>D47*H47</f>
        <v>1.3211006521522305E-5</v>
      </c>
      <c r="L47" s="6"/>
    </row>
    <row r="48" spans="1:12" ht="12.75" customHeight="1">
      <c r="A48" s="166" t="s">
        <v>482</v>
      </c>
      <c r="B48" s="6">
        <v>57.711868418500671</v>
      </c>
      <c r="C48" s="11" t="s">
        <v>616</v>
      </c>
      <c r="D48" s="61">
        <f>'Table 3.21-CFS CIOSS Rejs'!I71</f>
        <v>2.6418630523124341E-2</v>
      </c>
      <c r="E48" s="11" t="s">
        <v>585</v>
      </c>
      <c r="F48" s="81">
        <f>B48*D48</f>
        <v>1.5246685285475374</v>
      </c>
      <c r="H48" s="99">
        <f>B48/$B$68</f>
        <v>5.1323969624184569E-5</v>
      </c>
      <c r="J48" s="88">
        <f>D48*H48</f>
        <v>1.355908990481389E-6</v>
      </c>
      <c r="L48" s="6"/>
    </row>
    <row r="49" spans="1:12" ht="12.75" customHeight="1">
      <c r="A49" s="60" t="s">
        <v>97</v>
      </c>
      <c r="B49" s="6">
        <f>B44</f>
        <v>3847.4578945667217</v>
      </c>
      <c r="D49" s="61">
        <f>F49/B49</f>
        <v>5.2802179754108676E-2</v>
      </c>
      <c r="F49" s="81">
        <f>SUM(F44:F48)</f>
        <v>203.15416334527654</v>
      </c>
      <c r="H49" s="104"/>
      <c r="J49" s="19">
        <f>SUM(J44:J48)</f>
        <v>1.8066783131937428E-4</v>
      </c>
      <c r="L49" s="6"/>
    </row>
    <row r="50" spans="1:12" ht="5" customHeight="1">
      <c r="A50" s="60"/>
      <c r="B50" s="6"/>
      <c r="F50" s="81"/>
      <c r="H50" s="104"/>
      <c r="L50" s="6"/>
    </row>
    <row r="51" spans="1:12" ht="12.75" customHeight="1">
      <c r="A51" s="14" t="s">
        <v>602</v>
      </c>
      <c r="B51" s="6"/>
      <c r="F51" s="81"/>
      <c r="H51" s="104"/>
      <c r="L51" s="6"/>
    </row>
    <row r="52" spans="1:12" ht="12.75" customHeight="1">
      <c r="A52" s="258" t="s">
        <v>302</v>
      </c>
      <c r="B52" s="6">
        <f>'Table 3.16-Route UAA PARS'!D100</f>
        <v>131087.12684525002</v>
      </c>
      <c r="C52" s="205" t="s">
        <v>586</v>
      </c>
      <c r="D52" s="61">
        <f>F52/B52</f>
        <v>0.11529733041781502</v>
      </c>
      <c r="F52" s="81">
        <f>'Table 3.16-Route UAA PARS'!J100</f>
        <v>15113.995777398821</v>
      </c>
      <c r="G52" s="205" t="s">
        <v>586</v>
      </c>
      <c r="H52" s="99">
        <f t="shared" ref="H52:H58" si="5">B52/$B$68</f>
        <v>0.11657761047588051</v>
      </c>
      <c r="J52" s="88">
        <f t="shared" ref="J52:J58" si="6">D52*H52</f>
        <v>1.3441087274356929E-2</v>
      </c>
      <c r="L52" s="6"/>
    </row>
    <row r="53" spans="1:12" ht="12.75" customHeight="1">
      <c r="A53" s="258" t="s">
        <v>488</v>
      </c>
      <c r="B53" s="6">
        <f>'Table 3.18-Nixie UAA'!D10</f>
        <v>131087.12684525002</v>
      </c>
      <c r="C53" s="11" t="s">
        <v>580</v>
      </c>
      <c r="D53" s="61">
        <f>F53/B53</f>
        <v>7.5934757087251607E-3</v>
      </c>
      <c r="F53" s="81">
        <f>'Table 3.18-Nixie UAA'!I10</f>
        <v>995.40691342597995</v>
      </c>
      <c r="G53" s="11" t="s">
        <v>580</v>
      </c>
      <c r="H53" s="99">
        <f t="shared" si="5"/>
        <v>0.11657761047588051</v>
      </c>
      <c r="J53" s="88">
        <f t="shared" si="6"/>
        <v>8.8522925332982247E-4</v>
      </c>
      <c r="L53" s="6"/>
    </row>
    <row r="54" spans="1:12" ht="12.75" customHeight="1">
      <c r="A54" s="258" t="s">
        <v>474</v>
      </c>
      <c r="B54" s="6">
        <f>SUM('Table 3.24-CIOSS Detail'!E30,'Table 3.24-CIOSS Detail'!E36)</f>
        <v>131087.12684525002</v>
      </c>
      <c r="C54" s="11" t="s">
        <v>239</v>
      </c>
      <c r="D54" s="61">
        <f>F54/B54</f>
        <v>2.1800354027006075E-2</v>
      </c>
      <c r="F54" s="81">
        <f>SUM('Table 3.24-CIOSS Detail'!K30,'Table 3.24-CIOSS Detail'!K36)</f>
        <v>2857.7457736095025</v>
      </c>
      <c r="G54" s="11" t="s">
        <v>239</v>
      </c>
      <c r="H54" s="99">
        <f t="shared" si="5"/>
        <v>0.11657761047588051</v>
      </c>
      <c r="J54" s="88">
        <f t="shared" si="6"/>
        <v>2.5414331799966075E-3</v>
      </c>
      <c r="L54" s="6"/>
    </row>
    <row r="55" spans="1:12" ht="12.75" customHeight="1">
      <c r="A55" s="258" t="s">
        <v>90</v>
      </c>
      <c r="B55" s="6">
        <f>SUM('Table 3.28-REC Volume'!G30,'Table 3.28-REC Volume'!G36)</f>
        <v>109233.88438004776</v>
      </c>
      <c r="C55" s="11" t="s">
        <v>575</v>
      </c>
      <c r="D55" s="61">
        <f>F55/B55</f>
        <v>0</v>
      </c>
      <c r="F55" s="81">
        <v>0</v>
      </c>
      <c r="H55" s="99">
        <f t="shared" si="5"/>
        <v>9.714321711435088E-2</v>
      </c>
      <c r="J55" s="88">
        <f t="shared" si="6"/>
        <v>0</v>
      </c>
      <c r="L55" s="6"/>
    </row>
    <row r="56" spans="1:12" ht="12.75" customHeight="1">
      <c r="A56" s="166" t="s">
        <v>492</v>
      </c>
      <c r="B56" s="6">
        <v>0</v>
      </c>
      <c r="D56" s="61">
        <v>0</v>
      </c>
      <c r="F56" s="108">
        <v>0</v>
      </c>
      <c r="H56" s="99">
        <f t="shared" si="5"/>
        <v>0</v>
      </c>
      <c r="J56" s="88">
        <f t="shared" si="6"/>
        <v>0</v>
      </c>
      <c r="L56" s="6"/>
    </row>
    <row r="57" spans="1:12" ht="12.75" customHeight="1">
      <c r="A57" s="166" t="s">
        <v>670</v>
      </c>
      <c r="B57" s="6">
        <f>SUM('Table 3.28-REC Volume'!H30,'Table 3.28-REC Volume'!H36)</f>
        <v>19886.9355625235</v>
      </c>
      <c r="C57" s="11" t="s">
        <v>575</v>
      </c>
      <c r="D57" s="61">
        <f>F57/B57</f>
        <v>5.3536660556798961E-2</v>
      </c>
      <c r="E57" s="205"/>
      <c r="F57" s="108">
        <f>SUM('Table 3.26-REC Detail NonACS'!K30,'Table 3.26-REC Detail NonACS'!K36)</f>
        <v>1064.6801187257545</v>
      </c>
      <c r="G57" s="11" t="s">
        <v>583</v>
      </c>
      <c r="H57" s="99">
        <f t="shared" si="5"/>
        <v>1.7685729204391418E-2</v>
      </c>
      <c r="J57" s="88">
        <f t="shared" si="6"/>
        <v>9.4683488111496953E-4</v>
      </c>
      <c r="L57" s="6"/>
    </row>
    <row r="58" spans="1:12" ht="12.75" customHeight="1">
      <c r="A58" s="166" t="s">
        <v>482</v>
      </c>
      <c r="B58" s="6">
        <f>'Table 3.21-CFS CIOSS Rejs'!B71-B48</f>
        <v>1966.3069026787505</v>
      </c>
      <c r="C58" s="11" t="s">
        <v>617</v>
      </c>
      <c r="D58" s="61">
        <f>'Table 3.21-CFS CIOSS Rejs'!I71</f>
        <v>2.6418630523124341E-2</v>
      </c>
      <c r="E58" s="11" t="s">
        <v>585</v>
      </c>
      <c r="F58" s="81">
        <f>B58*D58</f>
        <v>51.947135556938917</v>
      </c>
      <c r="H58" s="99">
        <f t="shared" si="5"/>
        <v>1.7486641571382079E-3</v>
      </c>
      <c r="J58" s="88">
        <f t="shared" si="6"/>
        <v>4.6197312276464959E-5</v>
      </c>
      <c r="L58" s="6"/>
    </row>
    <row r="59" spans="1:12" ht="12.75" customHeight="1">
      <c r="A59" s="60" t="s">
        <v>97</v>
      </c>
      <c r="B59" s="6">
        <f>B52</f>
        <v>131087.12684525002</v>
      </c>
      <c r="D59" s="61">
        <f>F59/B59</f>
        <v>0.15320936694589504</v>
      </c>
      <c r="F59" s="81">
        <f>SUM(F52:F58)</f>
        <v>20083.775718716999</v>
      </c>
      <c r="H59" s="104"/>
      <c r="J59" s="19">
        <f>SUM(J52:J58)</f>
        <v>1.7860781901074794E-2</v>
      </c>
    </row>
    <row r="60" spans="1:12" ht="5" customHeight="1">
      <c r="A60" s="60"/>
      <c r="B60" s="6"/>
      <c r="F60" s="81"/>
      <c r="H60" s="104"/>
    </row>
    <row r="61" spans="1:12" ht="12.75" customHeight="1">
      <c r="A61" s="14" t="s">
        <v>603</v>
      </c>
      <c r="B61" s="6"/>
      <c r="F61" s="81"/>
      <c r="H61" s="104"/>
    </row>
    <row r="62" spans="1:12" ht="12.75" customHeight="1">
      <c r="A62" s="258" t="s">
        <v>315</v>
      </c>
      <c r="B62" s="6">
        <f>SUM(B10,B18,B28,B38,B49,B59)</f>
        <v>1124462.2900584454</v>
      </c>
      <c r="D62" s="61">
        <f>'Table 3.30-UAA MP Cost'!D24</f>
        <v>0.15496837031477878</v>
      </c>
      <c r="E62" s="11" t="s">
        <v>619</v>
      </c>
      <c r="F62" s="81">
        <f>B62*D62</f>
        <v>174256.08857078137</v>
      </c>
      <c r="H62" s="99">
        <f>B62/$B$68</f>
        <v>1</v>
      </c>
      <c r="J62" s="88">
        <f>D62*H62</f>
        <v>0.15496837031477878</v>
      </c>
    </row>
    <row r="63" spans="1:12">
      <c r="A63" s="258" t="s">
        <v>94</v>
      </c>
      <c r="B63" s="6">
        <f>'Table 3.35-PD Vols'!B14</f>
        <v>1114.2541582697568</v>
      </c>
      <c r="C63" s="11" t="s">
        <v>618</v>
      </c>
      <c r="D63" s="61">
        <f>'Table 3.32-Accounting Post Due'!I13</f>
        <v>3.0195033259639623</v>
      </c>
      <c r="E63" s="11" t="s">
        <v>620</v>
      </c>
      <c r="F63" s="81">
        <f>B63*D63</f>
        <v>3364.494136864706</v>
      </c>
      <c r="H63" s="99">
        <f>B63/$B$68</f>
        <v>9.9092176600412436E-4</v>
      </c>
      <c r="J63" s="88">
        <f>D63*H63</f>
        <v>2.9920915682195366E-3</v>
      </c>
    </row>
    <row r="64" spans="1:12">
      <c r="A64" s="258" t="s">
        <v>95</v>
      </c>
      <c r="B64" s="6">
        <f>'Table 3.35-PD Vols'!B15</f>
        <v>921.92894181827955</v>
      </c>
      <c r="C64" s="11" t="s">
        <v>618</v>
      </c>
      <c r="D64" s="61">
        <f>'Table 3.33-Delivery Post Due'!I20</f>
        <v>0.91297580183917582</v>
      </c>
      <c r="E64" s="11" t="s">
        <v>621</v>
      </c>
      <c r="F64" s="81">
        <f>B64*D64</f>
        <v>841.69881489528666</v>
      </c>
      <c r="H64" s="99">
        <f>B64/$B$68</f>
        <v>8.1988426821353081E-4</v>
      </c>
      <c r="J64" s="88">
        <f>D64*H64</f>
        <v>7.4853449718757423E-4</v>
      </c>
    </row>
    <row r="65" spans="1:11">
      <c r="A65" s="258" t="s">
        <v>205</v>
      </c>
      <c r="B65" s="6">
        <f>'Table 3.35-PD Vols'!B16</f>
        <v>106.06226187824412</v>
      </c>
      <c r="C65" s="11" t="s">
        <v>618</v>
      </c>
      <c r="D65" s="61">
        <f>'Table 3.34-Window Post Due'!I13</f>
        <v>0.52776229856710555</v>
      </c>
      <c r="E65" s="11" t="s">
        <v>622</v>
      </c>
      <c r="F65" s="81">
        <f>B65*D65</f>
        <v>55.975663120088406</v>
      </c>
      <c r="H65" s="99">
        <f>B65/$B$68</f>
        <v>9.4322648981613589E-5</v>
      </c>
      <c r="J65" s="88">
        <f>D65*H65</f>
        <v>4.9779938033474645E-5</v>
      </c>
    </row>
    <row r="66" spans="1:11">
      <c r="A66" s="60" t="s">
        <v>97</v>
      </c>
      <c r="B66" s="6">
        <f>B62</f>
        <v>1124462.2900584454</v>
      </c>
      <c r="D66" s="61">
        <f>F66/B66</f>
        <v>0.15875877631821939</v>
      </c>
      <c r="F66" s="108">
        <f>SUM(F62:F65)</f>
        <v>178518.25718566147</v>
      </c>
      <c r="H66" s="104"/>
      <c r="J66" s="19">
        <f>SUM(J62:J65)</f>
        <v>0.15875877631821936</v>
      </c>
    </row>
    <row r="67" spans="1:11" ht="5" customHeight="1">
      <c r="A67" s="14"/>
      <c r="B67" s="6"/>
      <c r="D67" s="61"/>
      <c r="F67" s="108"/>
      <c r="H67" s="104"/>
    </row>
    <row r="68" spans="1:11">
      <c r="A68" s="14" t="s">
        <v>497</v>
      </c>
      <c r="B68" s="260">
        <f>SUM(B10,B18,B28,B38,B49,B59)</f>
        <v>1124462.2900584454</v>
      </c>
      <c r="D68" s="61"/>
      <c r="F68" s="368">
        <f>SUM(F10,F18,F28,F38,F49,F59,F66)</f>
        <v>344550.98203246179</v>
      </c>
      <c r="H68" s="104"/>
      <c r="J68" s="311">
        <f>SUM(J10,J18,J28,J38,J49,J59,J66)</f>
        <v>0.30641399456317314</v>
      </c>
    </row>
    <row r="69" spans="1:11" hidden="1">
      <c r="A69" s="14"/>
      <c r="B69" s="6"/>
      <c r="D69" s="61"/>
      <c r="F69" s="108"/>
      <c r="H69" s="104"/>
    </row>
    <row r="70" spans="1:11" hidden="1">
      <c r="A70" s="5"/>
      <c r="B70" s="167"/>
      <c r="F70" s="262"/>
      <c r="H70" s="6"/>
      <c r="J70" s="6"/>
    </row>
    <row r="71" spans="1:11" hidden="1">
      <c r="A71" s="20" t="s">
        <v>186</v>
      </c>
      <c r="B71" s="105">
        <f>B5-SUM(B6:B9)</f>
        <v>0</v>
      </c>
      <c r="G71" s="365" t="s">
        <v>306</v>
      </c>
      <c r="H71" s="6">
        <f>SUM('Table 3.16-Route UAA PARS'!J99,'Table 3.16-Route UAA PARS'!J100,'Table 3.16-Route UAA PARS'!J107)</f>
        <v>108976.50982830318</v>
      </c>
      <c r="J71" s="6">
        <f>SUM(F21,F31,F52)</f>
        <v>108976.50982830318</v>
      </c>
      <c r="K71" s="105">
        <f t="shared" ref="K71:K78" si="7">H71-J71</f>
        <v>0</v>
      </c>
    </row>
    <row r="72" spans="1:11" hidden="1">
      <c r="A72" s="5"/>
      <c r="B72" s="105">
        <f>B13-SUM(B14:B17)</f>
        <v>0</v>
      </c>
      <c r="G72" s="36" t="s">
        <v>307</v>
      </c>
      <c r="H72" s="6">
        <f>SUM('Table 3.18-Nixie UAA'!I7,'Table 3.18-Nixie UAA'!I9,'Table 3.18-Nixie UAA'!I10,'Table 3.18-Nixie UAA'!I33,'Table 3.18-Nixie UAA'!I34)</f>
        <v>10016.543843701955</v>
      </c>
      <c r="J72" s="6">
        <f>SUM(F9,F22,F32,F37,F53)</f>
        <v>10016.543843701955</v>
      </c>
      <c r="K72" s="105">
        <f t="shared" si="7"/>
        <v>0</v>
      </c>
    </row>
    <row r="73" spans="1:11" hidden="1">
      <c r="A73" s="5"/>
      <c r="B73" s="105">
        <f>B28-SUM(B24:B27)</f>
        <v>0</v>
      </c>
      <c r="G73" s="36" t="s">
        <v>308</v>
      </c>
      <c r="H73" s="6">
        <f>SUM('Table 3.21-CFS CIOSS Rejs'!H14,'Table 3.21-CFS CIOSS Rejs'!H71)</f>
        <v>1048.5865468304446</v>
      </c>
      <c r="J73" s="6">
        <f>SUM(F17,F27,F48,F58)</f>
        <v>1048.5865468304444</v>
      </c>
      <c r="K73" s="105">
        <f t="shared" si="7"/>
        <v>0</v>
      </c>
    </row>
    <row r="74" spans="1:11" hidden="1">
      <c r="A74" s="5"/>
      <c r="B74" s="105">
        <f>B33-SUM(B34:B37)</f>
        <v>0</v>
      </c>
      <c r="G74" s="365" t="s">
        <v>495</v>
      </c>
      <c r="H74" s="6">
        <f>SUM('Table 3.23-CIOSS Summary'!I5,'Table 3.23-CIOSS Summary'!I9,'Table 3.23-CIOSS Summary'!I12)</f>
        <v>30449.430601258893</v>
      </c>
      <c r="J74" s="6">
        <f>SUM(F5,F13,F23,F33,F44,F54)</f>
        <v>30449.430601258897</v>
      </c>
      <c r="K74" s="105">
        <f t="shared" si="7"/>
        <v>0</v>
      </c>
    </row>
    <row r="75" spans="1:11" hidden="1">
      <c r="A75" s="5"/>
      <c r="B75" s="105">
        <f>B44-SUM(B45:B48)</f>
        <v>0</v>
      </c>
      <c r="G75" s="365" t="s">
        <v>496</v>
      </c>
      <c r="H75" s="6">
        <f>SUM('Table 3.25-REC Summary'!K5,'Table 3.25-REC Summary'!K9,'Table 3.25-REC Summary'!K12)</f>
        <v>15541.654026705819</v>
      </c>
      <c r="J75" s="6">
        <f>SUM(F7:F8,F15:F16,F25:F26,F35:F36,F46:F47,F56:F57)</f>
        <v>15541.654026705821</v>
      </c>
      <c r="K75" s="105">
        <f t="shared" si="7"/>
        <v>0</v>
      </c>
    </row>
    <row r="76" spans="1:11" hidden="1">
      <c r="A76" s="5"/>
      <c r="B76" s="105">
        <f>B54-SUM(B55:B58)</f>
        <v>0</v>
      </c>
      <c r="G76" s="36" t="s">
        <v>511</v>
      </c>
      <c r="H76" s="6">
        <f>'Table 3.30-UAA MP Cost'!F24</f>
        <v>174256.08857078137</v>
      </c>
      <c r="J76" s="6">
        <f>F62</f>
        <v>174256.08857078137</v>
      </c>
      <c r="K76" s="105">
        <f t="shared" si="7"/>
        <v>0</v>
      </c>
    </row>
    <row r="77" spans="1:11" hidden="1">
      <c r="A77" s="5"/>
      <c r="B77" s="105">
        <f>B68-SUM('Table 3.23-CIOSS Summary'!C5,'Table 3.23-CIOSS Summary'!C9,'Table 3.23-CIOSS Summary'!C12)</f>
        <v>0</v>
      </c>
      <c r="G77" s="36" t="s">
        <v>310</v>
      </c>
      <c r="H77" s="6">
        <f>SUM(F63:F65)</f>
        <v>4262.1686148800809</v>
      </c>
      <c r="J77" s="6">
        <f>SUM(F63:F65)</f>
        <v>4262.1686148800809</v>
      </c>
      <c r="K77" s="105">
        <f t="shared" si="7"/>
        <v>0</v>
      </c>
    </row>
    <row r="78" spans="1:11" hidden="1">
      <c r="A78" s="5"/>
      <c r="B78" s="167"/>
      <c r="G78" s="36" t="s">
        <v>309</v>
      </c>
      <c r="H78" s="6">
        <f>SUM(H71:H77)</f>
        <v>344550.98203246173</v>
      </c>
      <c r="J78" s="6">
        <f>SUM(J71:J77)</f>
        <v>344550.98203246173</v>
      </c>
      <c r="K78" s="105">
        <f t="shared" si="7"/>
        <v>0</v>
      </c>
    </row>
    <row r="79" spans="1:11">
      <c r="A79" s="204"/>
      <c r="B79" s="204"/>
      <c r="C79" s="204"/>
      <c r="D79" s="204"/>
      <c r="E79" s="204"/>
      <c r="F79" s="204"/>
      <c r="H79" s="167"/>
    </row>
    <row r="80" spans="1:11">
      <c r="A80" s="12" t="s">
        <v>230</v>
      </c>
    </row>
    <row r="81" spans="1:5">
      <c r="A81" s="11" t="s">
        <v>772</v>
      </c>
      <c r="D81" s="11"/>
      <c r="E81" s="11" t="s">
        <v>613</v>
      </c>
    </row>
    <row r="82" spans="1:5">
      <c r="A82" s="11" t="s">
        <v>61</v>
      </c>
      <c r="D82" s="11"/>
      <c r="E82" s="11" t="s">
        <v>614</v>
      </c>
    </row>
    <row r="83" spans="1:5">
      <c r="A83" s="11" t="s">
        <v>604</v>
      </c>
      <c r="D83" s="11"/>
      <c r="E83" s="11" t="s">
        <v>73</v>
      </c>
    </row>
    <row r="84" spans="1:5">
      <c r="A84" s="11" t="s">
        <v>605</v>
      </c>
      <c r="E84" s="11" t="s">
        <v>773</v>
      </c>
    </row>
    <row r="85" spans="1:5">
      <c r="A85" s="11" t="s">
        <v>15</v>
      </c>
      <c r="E85" s="11" t="s">
        <v>16</v>
      </c>
    </row>
    <row r="86" spans="1:5">
      <c r="A86" s="11" t="s">
        <v>17</v>
      </c>
      <c r="E86" s="11" t="s">
        <v>26</v>
      </c>
    </row>
    <row r="87" spans="1:5">
      <c r="A87" s="11" t="s">
        <v>606</v>
      </c>
      <c r="E87" s="11" t="s">
        <v>684</v>
      </c>
    </row>
    <row r="88" spans="1:5">
      <c r="A88" s="11" t="s">
        <v>607</v>
      </c>
      <c r="E88" s="11" t="s">
        <v>685</v>
      </c>
    </row>
    <row r="89" spans="1:5">
      <c r="A89" s="11" t="s">
        <v>683</v>
      </c>
      <c r="E89" s="11" t="s">
        <v>686</v>
      </c>
    </row>
    <row r="90" spans="1:5">
      <c r="A90" s="11" t="s">
        <v>72</v>
      </c>
      <c r="E90" s="11" t="s">
        <v>687</v>
      </c>
    </row>
    <row r="91" spans="1:5">
      <c r="A91" s="11" t="s">
        <v>610</v>
      </c>
      <c r="E91" s="11" t="s">
        <v>688</v>
      </c>
    </row>
    <row r="92" spans="1:5">
      <c r="A92" s="11" t="s">
        <v>611</v>
      </c>
      <c r="E92" s="11" t="s">
        <v>39</v>
      </c>
    </row>
    <row r="93" spans="1:5">
      <c r="A93" s="11" t="s">
        <v>74</v>
      </c>
    </row>
  </sheetData>
  <phoneticPr fontId="5" type="noConversion"/>
  <printOptions horizontalCentered="1"/>
  <pageMargins left="0.75" right="0.75" top="1" bottom="1" header="0.5" footer="0.5"/>
  <pageSetup scale="82" fitToHeight="2" orientation="landscape" r:id="rId1"/>
  <headerFooter alignWithMargins="0">
    <oddFooter>&amp;L&amp;F</oddFooter>
  </headerFooter>
  <rowBreaks count="1" manualBreakCount="1">
    <brk id="39"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pageSetUpPr fitToPage="1"/>
  </sheetPr>
  <dimension ref="A1:L46"/>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 min="11" max="11" width="12.5" bestFit="1" customWidth="1"/>
  </cols>
  <sheetData>
    <row r="1" spans="1:12" s="12" customFormat="1" ht="16">
      <c r="A1" s="117" t="s">
        <v>543</v>
      </c>
      <c r="B1" s="16"/>
      <c r="C1" s="16"/>
      <c r="D1" s="16"/>
      <c r="E1" s="16"/>
      <c r="F1" s="16"/>
      <c r="G1" s="16"/>
      <c r="H1" s="16"/>
      <c r="I1" s="16"/>
      <c r="J1" s="16"/>
    </row>
    <row r="2" spans="1:12" s="12" customFormat="1" ht="16">
      <c r="A2" s="117" t="s">
        <v>780</v>
      </c>
      <c r="B2" s="16"/>
      <c r="C2" s="16"/>
      <c r="D2" s="16"/>
      <c r="E2" s="16"/>
      <c r="F2" s="16"/>
      <c r="G2" s="16"/>
      <c r="H2" s="16"/>
      <c r="I2" s="16"/>
      <c r="J2" s="16"/>
    </row>
    <row r="3" spans="1:12" ht="28">
      <c r="B3" s="125" t="s">
        <v>104</v>
      </c>
      <c r="C3" s="125"/>
      <c r="D3" s="126" t="s">
        <v>99</v>
      </c>
      <c r="E3" s="126"/>
      <c r="F3" s="125" t="s">
        <v>105</v>
      </c>
      <c r="G3" s="125"/>
      <c r="H3" s="127" t="s">
        <v>92</v>
      </c>
      <c r="I3" s="127"/>
      <c r="J3" s="128" t="s">
        <v>100</v>
      </c>
    </row>
    <row r="4" spans="1:12" ht="12.75" customHeight="1">
      <c r="A4" s="14" t="s">
        <v>623</v>
      </c>
    </row>
    <row r="5" spans="1:12" ht="12.75" customHeight="1">
      <c r="A5" s="258" t="s">
        <v>302</v>
      </c>
      <c r="B5" s="6">
        <f>'Table 3.15-Route UAA NoPARS'!D99</f>
        <v>36777.475298627964</v>
      </c>
      <c r="C5" s="11" t="s">
        <v>236</v>
      </c>
      <c r="D5" s="61">
        <f>F5/B5</f>
        <v>0.1724100452412998</v>
      </c>
      <c r="F5" s="81">
        <f>'Table 3.15-Route UAA NoPARS'!J99</f>
        <v>6340.8061800972328</v>
      </c>
      <c r="G5" s="11" t="s">
        <v>236</v>
      </c>
      <c r="H5" s="99">
        <f>B5/$B$29</f>
        <v>0.34407960698487994</v>
      </c>
      <c r="J5" s="19">
        <f>D5*H5</f>
        <v>5.9322780606871801E-2</v>
      </c>
    </row>
    <row r="6" spans="1:12" ht="12.75" customHeight="1">
      <c r="A6" s="166" t="s">
        <v>513</v>
      </c>
      <c r="B6" s="6">
        <f>SUM('Table 3.18-Nixie UAA'!D16,'Table 3.18-Nixie UAA'!D19,'Table 3.18-Nixie UAA'!D25,'Table 3.18-Nixie UAA'!D28)</f>
        <v>36777.475298627956</v>
      </c>
      <c r="C6" s="11" t="s">
        <v>237</v>
      </c>
      <c r="D6" s="61">
        <f>F6/B6</f>
        <v>0.44415921930130731</v>
      </c>
      <c r="F6" s="81">
        <f>SUM('Table 3.18-Nixie UAA'!I16,'Table 3.18-Nixie UAA'!I19,'Table 3.18-Nixie UAA'!I25,'Table 3.18-Nixie UAA'!I28)</f>
        <v>16335.054716511706</v>
      </c>
      <c r="G6" s="11" t="s">
        <v>237</v>
      </c>
      <c r="H6" s="99">
        <f>B6/$B$29</f>
        <v>0.34407960698487988</v>
      </c>
      <c r="J6" s="19">
        <f>D6*H6</f>
        <v>0.15282612961590489</v>
      </c>
    </row>
    <row r="7" spans="1:12" ht="12.75" customHeight="1">
      <c r="A7" s="258" t="s">
        <v>93</v>
      </c>
      <c r="B7" s="6">
        <f>SUM('Table 3.31-Rating Post Due'!B14,'Table 3.31-Rating Post Due'!B25)</f>
        <v>3081.2907243307845</v>
      </c>
      <c r="C7" s="11" t="s">
        <v>238</v>
      </c>
      <c r="D7" s="61">
        <f>F7/B7</f>
        <v>0.26502763274265451</v>
      </c>
      <c r="F7" s="81">
        <f>SUM('Table 3.31-Rating Post Due'!H14,'Table 3.31-Rating Post Due'!H25)</f>
        <v>816.62718646128701</v>
      </c>
      <c r="G7" s="11" t="s">
        <v>238</v>
      </c>
      <c r="H7" s="99">
        <f>B7/$B$29</f>
        <v>2.882768033490991E-2</v>
      </c>
      <c r="J7" s="19">
        <f>D7*H7</f>
        <v>7.640131876623147E-3</v>
      </c>
    </row>
    <row r="8" spans="1:12" ht="12.75" customHeight="1">
      <c r="A8" s="258" t="s">
        <v>97</v>
      </c>
      <c r="B8" s="6">
        <f>B5</f>
        <v>36777.475298627964</v>
      </c>
      <c r="D8" s="61">
        <f>F8/B8</f>
        <v>0.63877381175065717</v>
      </c>
      <c r="F8" s="81">
        <f>SUM(F5:F7)</f>
        <v>23492.488083070224</v>
      </c>
      <c r="J8" s="19">
        <f>SUM(J5:J7)</f>
        <v>0.21978904209939984</v>
      </c>
    </row>
    <row r="9" spans="1:12" ht="5" customHeight="1">
      <c r="B9" s="6"/>
      <c r="D9" s="61"/>
      <c r="F9" s="81"/>
      <c r="H9" s="6"/>
      <c r="K9" s="6"/>
    </row>
    <row r="10" spans="1:12" ht="12.75" customHeight="1">
      <c r="A10" s="14" t="s">
        <v>624</v>
      </c>
      <c r="B10" s="6"/>
      <c r="D10" s="61"/>
      <c r="F10" s="81"/>
      <c r="H10" s="104"/>
    </row>
    <row r="11" spans="1:12" ht="12.75" customHeight="1">
      <c r="A11" s="258" t="s">
        <v>302</v>
      </c>
      <c r="B11" s="6">
        <f>'Table 3.15-Route UAA NoPARS'!D107</f>
        <v>59033.920457764703</v>
      </c>
      <c r="C11" s="11" t="s">
        <v>236</v>
      </c>
      <c r="D11" s="61">
        <f>F11/B11</f>
        <v>0.11453897278818395</v>
      </c>
      <c r="F11" s="81">
        <f>'Table 3.15-Route UAA NoPARS'!J107</f>
        <v>6761.6846088917273</v>
      </c>
      <c r="G11" s="11" t="s">
        <v>236</v>
      </c>
      <c r="H11" s="99">
        <f>B11/$B$29</f>
        <v>0.55230458276297512</v>
      </c>
      <c r="J11" s="19">
        <f>D11*H11</f>
        <v>6.3260399575877702E-2</v>
      </c>
    </row>
    <row r="12" spans="1:12" ht="12.75" customHeight="1">
      <c r="A12" s="166" t="s">
        <v>91</v>
      </c>
      <c r="B12" s="6">
        <f>'Table 3.20-CFS Non-CIOSS'!B14</f>
        <v>59033.920457764696</v>
      </c>
      <c r="C12" s="11" t="s">
        <v>239</v>
      </c>
      <c r="D12" s="61">
        <f>F12/B12</f>
        <v>0.33095941037147231</v>
      </c>
      <c r="F12" s="81">
        <f>'Table 3.20-CFS Non-CIOSS'!H14</f>
        <v>19537.8315066182</v>
      </c>
      <c r="G12" s="11" t="s">
        <v>239</v>
      </c>
      <c r="H12" s="99">
        <f>B12/$B$29</f>
        <v>0.55230458276297512</v>
      </c>
      <c r="J12" s="19">
        <f>D12*H12</f>
        <v>0.18279039905669628</v>
      </c>
      <c r="K12" s="81"/>
      <c r="L12" s="6"/>
    </row>
    <row r="13" spans="1:12" ht="12.75" customHeight="1">
      <c r="A13" s="166" t="s">
        <v>305</v>
      </c>
      <c r="B13" s="6">
        <f>'Table 3.20-CFS Non-CIOSS'!B50+'Table 3.20-CFS Non-CIOSS'!B61</f>
        <v>5505.6669272374165</v>
      </c>
      <c r="C13" s="11" t="s">
        <v>239</v>
      </c>
      <c r="D13" s="61">
        <f>F13/B13</f>
        <v>0.43392949561914185</v>
      </c>
      <c r="F13" s="81">
        <f>'Table 3.20-CFS Non-CIOSS'!H50+'Table 3.20-CFS Non-CIOSS'!H61</f>
        <v>2389.0712727831228</v>
      </c>
      <c r="G13" s="11" t="s">
        <v>239</v>
      </c>
      <c r="H13" s="99">
        <f>B13/$B$29</f>
        <v>5.1509455098027748E-2</v>
      </c>
      <c r="J13" s="19">
        <f>D13*H13</f>
        <v>2.2351471870304014E-2</v>
      </c>
      <c r="K13" s="81"/>
      <c r="L13" s="6"/>
    </row>
    <row r="14" spans="1:12" ht="12.75" customHeight="1">
      <c r="A14" s="258" t="s">
        <v>97</v>
      </c>
      <c r="B14" s="6">
        <f>B11</f>
        <v>59033.920457764703</v>
      </c>
      <c r="D14" s="61">
        <f>F14/B14</f>
        <v>0.48596784976898233</v>
      </c>
      <c r="F14" s="81">
        <f>SUM(F11:F13)</f>
        <v>28688.58738829305</v>
      </c>
      <c r="H14" s="104"/>
      <c r="J14" s="19">
        <f>SUM(J11:J13)</f>
        <v>0.26840227050287802</v>
      </c>
      <c r="K14" s="81"/>
      <c r="L14" s="6"/>
    </row>
    <row r="15" spans="1:12" ht="5" customHeight="1">
      <c r="B15" s="6"/>
      <c r="D15" s="61"/>
      <c r="F15" s="81"/>
      <c r="H15" s="104"/>
      <c r="K15" s="81"/>
      <c r="L15" s="6"/>
    </row>
    <row r="16" spans="1:12" ht="12.75" customHeight="1">
      <c r="A16" s="14" t="s">
        <v>625</v>
      </c>
      <c r="B16" s="6"/>
      <c r="D16" s="61"/>
      <c r="F16" s="81"/>
      <c r="H16" s="104"/>
      <c r="L16" s="6"/>
    </row>
    <row r="17" spans="1:12" ht="12.75" customHeight="1">
      <c r="A17" s="258" t="s">
        <v>302</v>
      </c>
      <c r="B17" s="6">
        <f>'Table 3.15-Route UAA NoPARS'!D100</f>
        <v>11075.134430338496</v>
      </c>
      <c r="C17" s="11" t="s">
        <v>236</v>
      </c>
      <c r="D17" s="61">
        <f>F17/B17</f>
        <v>0.14735092231945579</v>
      </c>
      <c r="F17" s="81">
        <f>'Table 3.15-Route UAA NoPARS'!J100</f>
        <v>1631.9312731223381</v>
      </c>
      <c r="G17" s="11" t="s">
        <v>236</v>
      </c>
      <c r="H17" s="99">
        <f>B17/$B$29</f>
        <v>0.10361581025214492</v>
      </c>
      <c r="J17" s="19">
        <f>D17*H17</f>
        <v>1.5267885207531277E-2</v>
      </c>
      <c r="L17" s="6"/>
    </row>
    <row r="18" spans="1:12" ht="12.75" customHeight="1">
      <c r="A18" s="258" t="s">
        <v>304</v>
      </c>
      <c r="B18" s="6">
        <v>0</v>
      </c>
      <c r="C18" s="11" t="s">
        <v>237</v>
      </c>
      <c r="D18" s="61">
        <v>0</v>
      </c>
      <c r="F18" s="81">
        <v>0</v>
      </c>
      <c r="G18" s="11" t="s">
        <v>237</v>
      </c>
      <c r="H18" s="99">
        <f>B18/$B$29</f>
        <v>0</v>
      </c>
      <c r="J18" s="19">
        <f>D18*H18</f>
        <v>0</v>
      </c>
    </row>
    <row r="19" spans="1:12" ht="12.75" customHeight="1">
      <c r="A19" s="60" t="s">
        <v>91</v>
      </c>
      <c r="B19" s="6">
        <f>'Table 3.20-CFS Non-CIOSS'!B71</f>
        <v>11075.134430338496</v>
      </c>
      <c r="C19" s="11" t="s">
        <v>239</v>
      </c>
      <c r="D19" s="61">
        <f>F19/B19</f>
        <v>2.6418630523124247E-2</v>
      </c>
      <c r="F19" s="81">
        <f>'Table 3.20-CFS Non-CIOSS'!H71</f>
        <v>292.58988450904485</v>
      </c>
      <c r="G19" s="11" t="s">
        <v>239</v>
      </c>
      <c r="H19" s="99">
        <f>B19/$B$29</f>
        <v>0.10361581025214492</v>
      </c>
      <c r="J19" s="19">
        <f>D19*H19</f>
        <v>2.737387807405566E-3</v>
      </c>
    </row>
    <row r="20" spans="1:12" ht="12.75" customHeight="1">
      <c r="A20" s="60" t="s">
        <v>97</v>
      </c>
      <c r="B20" s="6">
        <f>B17</f>
        <v>11075.134430338496</v>
      </c>
      <c r="D20" s="61">
        <f>F20/B20</f>
        <v>0.17376955284258006</v>
      </c>
      <c r="F20" s="81">
        <f>SUM(F17:F19)</f>
        <v>1924.5211576313829</v>
      </c>
      <c r="J20" s="19">
        <f>SUM(J17:J19)</f>
        <v>1.8005273014936842E-2</v>
      </c>
    </row>
    <row r="21" spans="1:12" ht="5" customHeight="1">
      <c r="A21" s="60"/>
      <c r="B21" s="6"/>
      <c r="F21" s="81"/>
      <c r="H21" s="104"/>
    </row>
    <row r="22" spans="1:12" ht="12.75" customHeight="1">
      <c r="A22" s="14" t="s">
        <v>626</v>
      </c>
      <c r="B22" s="6"/>
      <c r="F22" s="81"/>
      <c r="H22" s="104"/>
    </row>
    <row r="23" spans="1:12" ht="12.75" customHeight="1">
      <c r="A23" s="258" t="s">
        <v>315</v>
      </c>
      <c r="B23" s="6">
        <f>SUM(B8,B14,B20)</f>
        <v>106886.53018673116</v>
      </c>
      <c r="D23" s="61">
        <f>'Table 3.30-UAA MP Cost'!D32</f>
        <v>0.70954607863294394</v>
      </c>
      <c r="E23" s="11" t="s">
        <v>579</v>
      </c>
      <c r="F23" s="81">
        <f>B23*D23</f>
        <v>75840.91835267689</v>
      </c>
      <c r="H23" s="99">
        <f>B23/$B$29</f>
        <v>1</v>
      </c>
      <c r="J23" s="19">
        <f>D23*H23</f>
        <v>0.70954607863294394</v>
      </c>
    </row>
    <row r="24" spans="1:12">
      <c r="A24" s="258" t="s">
        <v>94</v>
      </c>
      <c r="B24" s="6">
        <f>'Table 3.35-PD Vols'!D14</f>
        <v>8586.957651568202</v>
      </c>
      <c r="C24" s="11" t="s">
        <v>575</v>
      </c>
      <c r="D24" s="61">
        <f>'Table 3.32-Accounting Post Due'!I13</f>
        <v>3.0195033259639623</v>
      </c>
      <c r="E24" s="11" t="s">
        <v>580</v>
      </c>
      <c r="F24" s="81">
        <f>B24*D24</f>
        <v>25928.347188821881</v>
      </c>
      <c r="H24" s="99">
        <f>B24/$B$29</f>
        <v>8.0337135432937662E-2</v>
      </c>
      <c r="J24" s="19">
        <f>D24*H24</f>
        <v>0.24257824763817257</v>
      </c>
    </row>
    <row r="25" spans="1:12">
      <c r="A25" s="258" t="s">
        <v>95</v>
      </c>
      <c r="B25" s="6">
        <f>'Table 3.35-PD Vols'!D15</f>
        <v>5482.0229621495091</v>
      </c>
      <c r="C25" s="11" t="s">
        <v>575</v>
      </c>
      <c r="D25" s="61">
        <f>'Table 3.33-Delivery Post Due'!I20</f>
        <v>0.91297580183917582</v>
      </c>
      <c r="E25" s="11" t="s">
        <v>583</v>
      </c>
      <c r="F25" s="81">
        <f>B25*D25</f>
        <v>5004.9543095692216</v>
      </c>
      <c r="H25" s="99">
        <f>B25/$B$29</f>
        <v>5.1288248880119833E-2</v>
      </c>
      <c r="J25" s="19">
        <f>D25*H25</f>
        <v>4.6824930146254613E-2</v>
      </c>
    </row>
    <row r="26" spans="1:12">
      <c r="A26" s="258" t="s">
        <v>205</v>
      </c>
      <c r="B26" s="6">
        <f>'Table 3.35-PD Vols'!D16</f>
        <v>955.4739989570661</v>
      </c>
      <c r="C26" s="11" t="s">
        <v>575</v>
      </c>
      <c r="D26" s="61">
        <f>'Table 3.34-Window Post Due'!I13</f>
        <v>0.52776229856710555</v>
      </c>
      <c r="E26" s="11" t="s">
        <v>584</v>
      </c>
      <c r="F26" s="81">
        <f>B26*D26</f>
        <v>504.26315391068539</v>
      </c>
      <c r="H26" s="99">
        <f>B26/$B$29</f>
        <v>8.9391431950110976E-3</v>
      </c>
      <c r="J26" s="19">
        <f>D26*H26</f>
        <v>4.7177427598195567E-3</v>
      </c>
    </row>
    <row r="27" spans="1:12">
      <c r="A27" s="60" t="s">
        <v>97</v>
      </c>
      <c r="B27" s="6">
        <f>B23</f>
        <v>106886.53018673116</v>
      </c>
      <c r="D27" s="61">
        <f>F27/B27</f>
        <v>1.0036669991771907</v>
      </c>
      <c r="F27" s="108">
        <f>SUM(F23:F26)</f>
        <v>107278.48300497867</v>
      </c>
      <c r="H27" s="104"/>
      <c r="J27" s="19">
        <f>SUM(J23:J26)</f>
        <v>1.0036669991771907</v>
      </c>
    </row>
    <row r="28" spans="1:12" ht="5" customHeight="1">
      <c r="A28" s="14"/>
      <c r="B28" s="6"/>
      <c r="D28" s="61"/>
      <c r="F28" s="108"/>
      <c r="H28" s="104"/>
    </row>
    <row r="29" spans="1:12">
      <c r="A29" s="14" t="s">
        <v>487</v>
      </c>
      <c r="B29" s="260">
        <f>SUM(B8,B14,B20)</f>
        <v>106886.53018673116</v>
      </c>
      <c r="D29" s="61"/>
      <c r="F29" s="368">
        <f>SUM(F8,F14,F20,F27)</f>
        <v>161384.07963397334</v>
      </c>
      <c r="H29" s="104"/>
      <c r="J29" s="311">
        <f>SUM(J8,J14,J20,J27)</f>
        <v>1.5098635847944055</v>
      </c>
    </row>
    <row r="30" spans="1:12" hidden="1">
      <c r="A30" s="14"/>
      <c r="B30" s="6"/>
      <c r="D30" s="61"/>
      <c r="F30" s="108"/>
      <c r="H30" s="104"/>
    </row>
    <row r="31" spans="1:12" hidden="1">
      <c r="A31" s="5"/>
      <c r="B31" s="167"/>
      <c r="F31" s="262"/>
      <c r="H31" s="6"/>
      <c r="J31" s="6"/>
    </row>
    <row r="32" spans="1:12" hidden="1">
      <c r="A32" s="20" t="s">
        <v>186</v>
      </c>
      <c r="B32" s="167"/>
      <c r="D32" s="19"/>
      <c r="G32" s="365" t="s">
        <v>306</v>
      </c>
      <c r="H32" s="6">
        <f>SUM('Table 3.15-Route UAA NoPARS'!J99:J100,'Table 3.15-Route UAA NoPARS'!J107)</f>
        <v>14734.422062111298</v>
      </c>
      <c r="J32" s="6">
        <f>SUM(F5,F11,F17)</f>
        <v>14734.422062111298</v>
      </c>
      <c r="K32" s="105">
        <f t="shared" ref="K32:K37" si="0">H32-J32</f>
        <v>0</v>
      </c>
    </row>
    <row r="33" spans="1:11" hidden="1">
      <c r="A33" s="5"/>
      <c r="B33" s="167"/>
      <c r="G33" s="36" t="s">
        <v>307</v>
      </c>
      <c r="H33" s="6">
        <f>SUM('Table 3.18-Nixie UAA'!I16:I16,'Table 3.18-Nixie UAA'!I19,'Table 3.18-Nixie UAA'!I25:I25,'Table 3.18-Nixie UAA'!I28)+SUM('Table 3.31-Rating Post Due'!H13,'Table 3.31-Rating Post Due'!H25)</f>
        <v>17151.681902972992</v>
      </c>
      <c r="J33" s="6">
        <f>SUM(F6:F7,F18)</f>
        <v>17151.681902972992</v>
      </c>
      <c r="K33" s="105">
        <f t="shared" si="0"/>
        <v>0</v>
      </c>
    </row>
    <row r="34" spans="1:11" hidden="1">
      <c r="A34" s="5"/>
      <c r="B34" s="167"/>
      <c r="G34" s="36" t="s">
        <v>308</v>
      </c>
      <c r="H34" s="6">
        <f>SUM('Table 3.20-CFS Non-CIOSS'!H14,'Table 3.20-CFS Non-CIOSS'!H50,'Table 3.20-CFS Non-CIOSS'!H61,'Table 3.20-CFS Non-CIOSS'!H71)</f>
        <v>22219.492663910369</v>
      </c>
      <c r="J34" s="6">
        <f>SUM(F12:F13,F19)</f>
        <v>22219.492663910369</v>
      </c>
      <c r="K34" s="105">
        <f t="shared" si="0"/>
        <v>0</v>
      </c>
    </row>
    <row r="35" spans="1:11" hidden="1">
      <c r="A35" s="5"/>
      <c r="B35" s="167"/>
      <c r="G35" s="36" t="s">
        <v>511</v>
      </c>
      <c r="H35" s="6">
        <f>'Table 3.30-UAA MP Cost'!F32</f>
        <v>75840.918352676861</v>
      </c>
      <c r="J35" s="6">
        <f>F23</f>
        <v>75840.91835267689</v>
      </c>
      <c r="K35" s="105">
        <f t="shared" si="0"/>
        <v>0</v>
      </c>
    </row>
    <row r="36" spans="1:11" hidden="1">
      <c r="A36" s="5"/>
      <c r="B36" s="167"/>
      <c r="G36" s="36" t="s">
        <v>310</v>
      </c>
      <c r="H36" s="6">
        <f>SUM(F24:F26)</f>
        <v>31437.564652301786</v>
      </c>
      <c r="J36" s="6">
        <f>SUM(F24:F26)</f>
        <v>31437.564652301786</v>
      </c>
      <c r="K36" s="105">
        <f t="shared" si="0"/>
        <v>0</v>
      </c>
    </row>
    <row r="37" spans="1:11" hidden="1">
      <c r="A37" s="5"/>
      <c r="B37" s="167"/>
      <c r="G37" s="36" t="s">
        <v>309</v>
      </c>
      <c r="H37" s="6">
        <f>SUM(H32:H36)</f>
        <v>161384.07963397331</v>
      </c>
      <c r="J37" s="6">
        <f>SUM(J32:J36)</f>
        <v>161384.07963397334</v>
      </c>
      <c r="K37" s="105">
        <f t="shared" si="0"/>
        <v>0</v>
      </c>
    </row>
    <row r="38" spans="1:11">
      <c r="A38" s="204"/>
      <c r="B38" s="204"/>
      <c r="C38" s="204"/>
      <c r="D38" s="204"/>
      <c r="E38" s="204"/>
      <c r="F38" s="204"/>
      <c r="H38" s="167"/>
    </row>
    <row r="39" spans="1:11">
      <c r="A39" s="12" t="s">
        <v>230</v>
      </c>
    </row>
    <row r="40" spans="1:11">
      <c r="A40" s="11" t="s">
        <v>627</v>
      </c>
      <c r="D40" s="11"/>
      <c r="E40" s="11" t="s">
        <v>632</v>
      </c>
    </row>
    <row r="41" spans="1:11">
      <c r="A41" s="11" t="s">
        <v>628</v>
      </c>
      <c r="D41" s="11"/>
      <c r="E41" s="11" t="s">
        <v>595</v>
      </c>
    </row>
    <row r="42" spans="1:11">
      <c r="A42" s="11" t="s">
        <v>31</v>
      </c>
      <c r="D42" s="11"/>
      <c r="E42" s="11" t="s">
        <v>679</v>
      </c>
    </row>
    <row r="43" spans="1:11">
      <c r="A43" s="11" t="s">
        <v>629</v>
      </c>
      <c r="E43" s="11" t="s">
        <v>680</v>
      </c>
    </row>
    <row r="44" spans="1:11">
      <c r="A44" s="11" t="s">
        <v>630</v>
      </c>
      <c r="E44" s="11" t="s">
        <v>681</v>
      </c>
    </row>
    <row r="45" spans="1:11">
      <c r="A45" s="11" t="s">
        <v>40</v>
      </c>
      <c r="E45" s="11" t="s">
        <v>682</v>
      </c>
    </row>
    <row r="46" spans="1:11">
      <c r="A46" s="11" t="s">
        <v>689</v>
      </c>
    </row>
  </sheetData>
  <phoneticPr fontId="5" type="noConversion"/>
  <printOptions horizontalCentered="1"/>
  <pageMargins left="0.75" right="0.75" top="1" bottom="1" header="0.5" footer="0.5"/>
  <pageSetup orientation="landscape" r:id="rId1"/>
  <headerFooter alignWithMargins="0">
    <oddFooter>&amp;L&amp;F</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pageSetUpPr fitToPage="1"/>
  </sheetPr>
  <dimension ref="A1:K30"/>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1" s="12" customFormat="1" ht="16">
      <c r="A1" s="117" t="s">
        <v>544</v>
      </c>
      <c r="B1" s="16"/>
      <c r="C1" s="16"/>
      <c r="D1" s="16"/>
      <c r="E1" s="16"/>
      <c r="F1" s="16"/>
      <c r="G1" s="16"/>
      <c r="H1" s="16"/>
      <c r="I1" s="16"/>
      <c r="J1" s="16"/>
    </row>
    <row r="2" spans="1:11" s="12" customFormat="1" ht="16">
      <c r="A2" s="117" t="s">
        <v>780</v>
      </c>
      <c r="B2" s="16"/>
      <c r="C2" s="16"/>
      <c r="D2" s="16"/>
      <c r="E2" s="16"/>
      <c r="F2" s="16"/>
      <c r="G2" s="16"/>
      <c r="H2" s="16"/>
      <c r="I2" s="16"/>
      <c r="J2" s="16"/>
    </row>
    <row r="3" spans="1:11" ht="28">
      <c r="B3" s="125" t="s">
        <v>104</v>
      </c>
      <c r="C3" s="125"/>
      <c r="D3" s="126" t="s">
        <v>99</v>
      </c>
      <c r="E3" s="126"/>
      <c r="F3" s="125" t="s">
        <v>105</v>
      </c>
      <c r="G3" s="125"/>
      <c r="H3" s="127" t="s">
        <v>92</v>
      </c>
      <c r="I3" s="127"/>
      <c r="J3" s="128" t="s">
        <v>100</v>
      </c>
    </row>
    <row r="4" spans="1:11">
      <c r="A4" s="14"/>
      <c r="F4" s="81"/>
      <c r="H4" s="104"/>
    </row>
    <row r="5" spans="1:11">
      <c r="A5" s="14" t="s">
        <v>567</v>
      </c>
      <c r="B5" s="167"/>
      <c r="G5" s="36"/>
      <c r="H5" s="6"/>
      <c r="J5" s="6"/>
      <c r="K5" s="167"/>
    </row>
    <row r="6" spans="1:11">
      <c r="A6" s="258" t="s">
        <v>484</v>
      </c>
      <c r="B6" s="6">
        <f>'Table 3.9-PARS Wst Summary'!B10</f>
        <v>278110.92171788111</v>
      </c>
      <c r="D6" s="88">
        <f t="shared" ref="D6:D11" si="0">F6/B6</f>
        <v>5.6550057605847345E-2</v>
      </c>
      <c r="F6" s="108">
        <f>'Table 3.9-PARS Wst Summary'!F10</f>
        <v>15727.188643961479</v>
      </c>
      <c r="H6" s="99">
        <f t="shared" ref="H6:H11" si="1">B6/$B$19</f>
        <v>0.12096638525049698</v>
      </c>
      <c r="J6" s="88">
        <f>D6*H6</f>
        <v>6.8406560542867267E-3</v>
      </c>
    </row>
    <row r="7" spans="1:11">
      <c r="A7" s="258" t="s">
        <v>485</v>
      </c>
      <c r="B7" s="6">
        <f>'Table 3.9-PARS Wst Summary'!B18</f>
        <v>103378.90730023501</v>
      </c>
      <c r="D7" s="88">
        <f t="shared" si="0"/>
        <v>5.7586278072561101E-2</v>
      </c>
      <c r="F7" s="108">
        <f>'Table 3.9-PARS Wst Summary'!F18</f>
        <v>5953.2065026288501</v>
      </c>
      <c r="H7" s="99">
        <f t="shared" si="1"/>
        <v>4.496541397946692E-2</v>
      </c>
      <c r="J7" s="88">
        <f>D7*H7</f>
        <v>2.5893908330694082E-3</v>
      </c>
    </row>
    <row r="8" spans="1:11">
      <c r="A8" s="258" t="s">
        <v>486</v>
      </c>
      <c r="B8" s="6">
        <f>'Table 3.9-PARS Wst Summary'!B28</f>
        <v>19882.087235225761</v>
      </c>
      <c r="D8" s="88">
        <f t="shared" si="0"/>
        <v>0.17809756535897645</v>
      </c>
      <c r="F8" s="108">
        <f>'Table 3.9-PARS Wst Summary'!F28</f>
        <v>3540.9513308484911</v>
      </c>
      <c r="H8" s="99">
        <f t="shared" si="1"/>
        <v>8.6478596713293852E-3</v>
      </c>
      <c r="J8" s="88">
        <f>D8*H8</f>
        <v>1.5401627530298417E-3</v>
      </c>
    </row>
    <row r="9" spans="1:11">
      <c r="A9" s="258" t="s">
        <v>494</v>
      </c>
      <c r="B9" s="6">
        <f>'Table 3.9-PARS Wst Summary'!B36</f>
        <v>29216.411754933612</v>
      </c>
      <c r="D9" s="88">
        <f t="shared" si="0"/>
        <v>5.2802179754108676E-2</v>
      </c>
      <c r="F9" s="108">
        <f>'Table 3.9-PARS Wst Summary'!F36</f>
        <v>1542.6902252540583</v>
      </c>
      <c r="H9" s="99">
        <f t="shared" si="1"/>
        <v>1.2707892585281438E-2</v>
      </c>
      <c r="J9" s="88">
        <f>D9*H9</f>
        <v>6.7100442858393527E-4</v>
      </c>
    </row>
    <row r="10" spans="1:11">
      <c r="A10" s="258" t="s">
        <v>493</v>
      </c>
      <c r="B10" s="6">
        <f>'Table 3.9-PARS Wst Summary'!B46</f>
        <v>416092.9075552625</v>
      </c>
      <c r="D10" s="88">
        <f t="shared" si="0"/>
        <v>0.15504799402606126</v>
      </c>
      <c r="F10" s="108">
        <f>'Table 3.9-PARS Wst Summary'!F46</f>
        <v>64514.370644914794</v>
      </c>
      <c r="H10" s="99">
        <f t="shared" si="1"/>
        <v>0.18098266204154304</v>
      </c>
      <c r="J10" s="88">
        <f>D10*H10</f>
        <v>2.806099870303783E-2</v>
      </c>
    </row>
    <row r="11" spans="1:11">
      <c r="A11" s="258" t="s">
        <v>97</v>
      </c>
      <c r="B11" s="6">
        <f>SUM(B6:B10)</f>
        <v>846681.23556353804</v>
      </c>
      <c r="D11" s="88">
        <f t="shared" si="0"/>
        <v>0.10780728745789928</v>
      </c>
      <c r="F11" s="108">
        <f>SUM(F6:F10)</f>
        <v>91278.407347607674</v>
      </c>
      <c r="H11" s="99">
        <f t="shared" si="1"/>
        <v>0.36827021352811778</v>
      </c>
      <c r="J11" s="88">
        <f>SUM(J6:J10)</f>
        <v>3.9702212772007736E-2</v>
      </c>
    </row>
    <row r="12" spans="1:11">
      <c r="A12" s="11"/>
      <c r="D12" s="11"/>
      <c r="F12" s="108"/>
      <c r="H12" s="99"/>
    </row>
    <row r="13" spans="1:11">
      <c r="A13" s="14" t="s">
        <v>472</v>
      </c>
      <c r="D13" s="11"/>
      <c r="F13" s="108"/>
      <c r="H13" s="99"/>
    </row>
    <row r="14" spans="1:11">
      <c r="A14" s="258" t="s">
        <v>489</v>
      </c>
      <c r="B14" s="6">
        <f>'Table 3.10-NonPARS Wst Summary'!B7</f>
        <v>1368978.5487081872</v>
      </c>
      <c r="D14" s="88">
        <f>F14/B14</f>
        <v>6.1319533064091158E-2</v>
      </c>
      <c r="F14" s="108">
        <f>'Table 3.10-NonPARS Wst Summary'!F7</f>
        <v>83945.125381543214</v>
      </c>
      <c r="H14" s="99">
        <f>B14/$B$19</f>
        <v>0.59544726075406607</v>
      </c>
      <c r="J14" s="88">
        <f>D14*H14</f>
        <v>3.6512547993731465E-2</v>
      </c>
    </row>
    <row r="15" spans="1:11">
      <c r="A15" s="258" t="s">
        <v>490</v>
      </c>
      <c r="B15" s="6">
        <f>'Table 3.10-NonPARS Wst Summary'!B12</f>
        <v>65556.920187931828</v>
      </c>
      <c r="D15" s="88">
        <f>F15/B15</f>
        <v>0.49680663807632197</v>
      </c>
      <c r="F15" s="108">
        <f>'Table 3.10-NonPARS Wst Summary'!F12</f>
        <v>32569.113121204173</v>
      </c>
      <c r="H15" s="99">
        <f>B15/$B$19</f>
        <v>2.851446327352046E-2</v>
      </c>
      <c r="J15" s="88">
        <f>D15*H15</f>
        <v>1.4166174635468454E-2</v>
      </c>
    </row>
    <row r="16" spans="1:11">
      <c r="A16" s="258" t="s">
        <v>491</v>
      </c>
      <c r="B16" s="6">
        <f>'Table 3.10-NonPARS Wst Summary'!B18</f>
        <v>17859.366483270736</v>
      </c>
      <c r="D16" s="88">
        <f>F16/B16</f>
        <v>0.21535198701939834</v>
      </c>
      <c r="F16" s="108">
        <f>'Table 3.10-NonPARS Wst Summary'!F18</f>
        <v>3846.0500590799975</v>
      </c>
      <c r="H16" s="99">
        <f>B16/$B$19</f>
        <v>7.7680624442957279E-3</v>
      </c>
      <c r="J16" s="88">
        <f>D16*H16</f>
        <v>1.6728676826698492E-3</v>
      </c>
    </row>
    <row r="17" spans="1:11">
      <c r="A17" s="258" t="s">
        <v>97</v>
      </c>
      <c r="B17" s="6">
        <f>SUM(B14:B16)</f>
        <v>1452394.8353793896</v>
      </c>
      <c r="D17" s="88">
        <f>F17/B17</f>
        <v>8.2870226215302725E-2</v>
      </c>
      <c r="F17" s="108">
        <f>SUM(F14:F16)</f>
        <v>120360.28856182737</v>
      </c>
      <c r="H17" s="99">
        <f>B17/$B$19</f>
        <v>0.63172978647188216</v>
      </c>
      <c r="J17" s="88">
        <f>SUM(J14:J16)</f>
        <v>5.235159031186977E-2</v>
      </c>
    </row>
    <row r="18" spans="1:11">
      <c r="F18" s="108"/>
    </row>
    <row r="19" spans="1:11">
      <c r="A19" s="16" t="s">
        <v>264</v>
      </c>
      <c r="B19" s="260">
        <f>SUM(B11,B17)</f>
        <v>2299076.0709429276</v>
      </c>
      <c r="C19" s="5"/>
      <c r="D19" s="5"/>
      <c r="E19" s="5"/>
      <c r="F19" s="368">
        <f>SUM(F11,F17)</f>
        <v>211638.69590943505</v>
      </c>
      <c r="G19" s="5"/>
      <c r="H19" s="369"/>
      <c r="I19" s="5"/>
      <c r="J19" s="259">
        <f>SUM(J11,J17)</f>
        <v>9.2053803083877506E-2</v>
      </c>
    </row>
    <row r="21" spans="1:11" hidden="1">
      <c r="A21" s="13" t="s">
        <v>186</v>
      </c>
      <c r="B21" s="105">
        <v>0</v>
      </c>
      <c r="G21" s="365" t="s">
        <v>306</v>
      </c>
      <c r="H21" s="6">
        <f>SUM('Table 3.14-Route UAA'!J101,'Table 3.14-Route UAA'!J108,'Table 3.14-Route UAA'!J111)</f>
        <v>119946.43149452974</v>
      </c>
      <c r="J21" s="6">
        <f>'Table 3.9-PARS Wst Summary'!J50+'Table 3.10-NonPARS Wst Summary'!J22</f>
        <v>119946.43149452974</v>
      </c>
      <c r="K21" s="105">
        <f t="shared" ref="K21:K26" si="2">H21-J21</f>
        <v>0</v>
      </c>
    </row>
    <row r="22" spans="1:11" hidden="1">
      <c r="B22" s="105">
        <v>0</v>
      </c>
      <c r="G22" s="36" t="s">
        <v>307</v>
      </c>
      <c r="H22" s="6">
        <f>SUM('Table 3.18-Nixie UAA'!I8,'Table 3.18-Nixie UAA'!I11,'Table 3.18-Nixie UAA'!I20,'Table 3.18-Nixie UAA'!I29,'Table 3.18-Nixie UAA'!I35,'Table 3.18-Nixie UAA'!I37)</f>
        <v>32634.483679704805</v>
      </c>
      <c r="J22" s="6">
        <f>'Table 3.9-PARS Wst Summary'!J51+'Table 3.10-NonPARS Wst Summary'!J23</f>
        <v>32634.483679704805</v>
      </c>
      <c r="K22" s="105">
        <f t="shared" si="2"/>
        <v>0</v>
      </c>
    </row>
    <row r="23" spans="1:11" hidden="1">
      <c r="B23" s="105">
        <v>0</v>
      </c>
      <c r="G23" s="36" t="s">
        <v>308</v>
      </c>
      <c r="H23" s="6">
        <f>SUM('Table 3.20-CFS Non-CIOSS'!H19,'Table 3.20-CFS Non-CIOSS'!H76,'Table 3.21-CFS CIOSS Rejs'!H19,'Table 3.21-CFS CIOSS Rejs'!H76)</f>
        <v>22757.688630097775</v>
      </c>
      <c r="J23" s="6">
        <f>'Table 3.9-PARS Wst Summary'!J52+'Table 3.10-NonPARS Wst Summary'!J24</f>
        <v>22757.688630097775</v>
      </c>
      <c r="K23" s="105">
        <f t="shared" si="2"/>
        <v>0</v>
      </c>
    </row>
    <row r="24" spans="1:11" hidden="1">
      <c r="B24" s="167"/>
      <c r="G24" s="365" t="s">
        <v>495</v>
      </c>
      <c r="H24" s="6">
        <f>SUM('Table 3.23-CIOSS Summary'!I6,'Table 3.23-CIOSS Summary'!I10,'Table 3.23-CIOSS Summary'!I13)</f>
        <v>30061.770155253915</v>
      </c>
      <c r="J24" s="6">
        <f>'Table 3.9-PARS Wst Summary'!J53</f>
        <v>30061.770155253918</v>
      </c>
      <c r="K24" s="105">
        <f t="shared" si="2"/>
        <v>0</v>
      </c>
    </row>
    <row r="25" spans="1:11" hidden="1">
      <c r="B25" s="167"/>
      <c r="G25" s="365" t="s">
        <v>496</v>
      </c>
      <c r="H25" s="6">
        <f>SUM('Table 3.25-REC Summary'!K6,'Table 3.25-REC Summary'!K10,'Table 3.25-REC Summary'!K13)</f>
        <v>6238.3219498488288</v>
      </c>
      <c r="J25" s="6">
        <f>'Table 3.9-PARS Wst Summary'!J54</f>
        <v>6238.3219498488288</v>
      </c>
      <c r="K25" s="105">
        <f t="shared" si="2"/>
        <v>0</v>
      </c>
    </row>
    <row r="26" spans="1:11" hidden="1">
      <c r="B26" s="167"/>
      <c r="G26" s="36" t="s">
        <v>309</v>
      </c>
      <c r="H26" s="6">
        <f>SUM(H21:H25)</f>
        <v>211638.69590943505</v>
      </c>
      <c r="J26" s="6">
        <f>SUM(J21:J25)</f>
        <v>211638.69590943505</v>
      </c>
      <c r="K26" s="105">
        <f t="shared" si="2"/>
        <v>0</v>
      </c>
    </row>
    <row r="27" spans="1:11">
      <c r="A27" s="204"/>
      <c r="B27" s="204"/>
      <c r="C27" s="204"/>
      <c r="D27" s="204"/>
      <c r="E27" s="204"/>
      <c r="F27" s="204"/>
    </row>
    <row r="28" spans="1:11">
      <c r="A28" s="12" t="s">
        <v>230</v>
      </c>
    </row>
    <row r="29" spans="1:11">
      <c r="A29" s="11" t="s">
        <v>633</v>
      </c>
      <c r="D29" s="11"/>
    </row>
    <row r="30" spans="1:11">
      <c r="A30" s="11" t="s">
        <v>634</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pageSetUpPr fitToPage="1"/>
  </sheetPr>
  <dimension ref="A1:K66"/>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0" s="12" customFormat="1" ht="16">
      <c r="A1" s="117" t="s">
        <v>545</v>
      </c>
      <c r="B1" s="16"/>
      <c r="C1" s="16"/>
      <c r="D1" s="16"/>
      <c r="E1" s="16"/>
      <c r="F1" s="16"/>
      <c r="G1" s="16"/>
      <c r="H1" s="16"/>
      <c r="I1" s="16"/>
      <c r="J1" s="16"/>
    </row>
    <row r="2" spans="1:10" s="12" customFormat="1" ht="16">
      <c r="A2" s="117" t="s">
        <v>780</v>
      </c>
      <c r="B2" s="16"/>
      <c r="C2" s="16"/>
      <c r="D2" s="16"/>
      <c r="E2" s="16"/>
      <c r="F2" s="16"/>
      <c r="G2" s="16"/>
      <c r="H2" s="16"/>
      <c r="I2" s="16"/>
      <c r="J2" s="16"/>
    </row>
    <row r="3" spans="1:10" ht="28">
      <c r="B3" s="125" t="s">
        <v>104</v>
      </c>
      <c r="C3" s="125"/>
      <c r="D3" s="126" t="s">
        <v>99</v>
      </c>
      <c r="E3" s="126"/>
      <c r="F3" s="125" t="s">
        <v>105</v>
      </c>
      <c r="G3" s="125"/>
      <c r="H3" s="127" t="s">
        <v>92</v>
      </c>
      <c r="I3" s="127"/>
      <c r="J3" s="128" t="s">
        <v>100</v>
      </c>
    </row>
    <row r="4" spans="1:10">
      <c r="A4" s="14" t="s">
        <v>635</v>
      </c>
    </row>
    <row r="5" spans="1:10">
      <c r="A5" s="258" t="s">
        <v>474</v>
      </c>
      <c r="B5" s="6">
        <f>'Table 3.24-CIOSS Detail'!E13</f>
        <v>278110.92171788111</v>
      </c>
      <c r="C5" s="11" t="s">
        <v>237</v>
      </c>
      <c r="D5" s="61">
        <f>F5/B5</f>
        <v>4.8544836951515069E-2</v>
      </c>
      <c r="F5" s="108">
        <f>'Table 3.24-CIOSS Detail'!K13</f>
        <v>13500.84934923011</v>
      </c>
      <c r="G5" s="11" t="s">
        <v>237</v>
      </c>
      <c r="H5" s="99">
        <f>B5/$B$48</f>
        <v>0.32847181446365081</v>
      </c>
      <c r="J5" s="19">
        <f>D5*H5</f>
        <v>1.5945610676306239E-2</v>
      </c>
    </row>
    <row r="6" spans="1:10">
      <c r="A6" s="258" t="s">
        <v>90</v>
      </c>
      <c r="B6" s="6">
        <f>'Table 3.28-REC Volume'!G13</f>
        <v>253881.90141057802</v>
      </c>
      <c r="C6" s="11" t="s">
        <v>238</v>
      </c>
      <c r="D6" s="61">
        <f>F6/B6</f>
        <v>0</v>
      </c>
      <c r="F6" s="108">
        <v>0</v>
      </c>
      <c r="G6" s="11"/>
      <c r="H6" s="99">
        <f>B6/$B$48</f>
        <v>0.29985535375848754</v>
      </c>
      <c r="J6" s="19">
        <f>D6*H6</f>
        <v>0</v>
      </c>
    </row>
    <row r="7" spans="1:10">
      <c r="A7" s="166" t="s">
        <v>492</v>
      </c>
      <c r="B7" s="6">
        <f>'Table 3.28-REC Volume'!H13</f>
        <v>20057.356481534796</v>
      </c>
      <c r="C7" s="11" t="s">
        <v>238</v>
      </c>
      <c r="D7" s="61">
        <f>F7/B7</f>
        <v>0.10707332111359792</v>
      </c>
      <c r="F7" s="108">
        <f>'Table 3.26-REC Detail NonACS'!K13</f>
        <v>2147.6077712372798</v>
      </c>
      <c r="G7" s="11" t="s">
        <v>575</v>
      </c>
      <c r="H7" s="99">
        <f>B7/$B$48</f>
        <v>2.3689383488208437E-2</v>
      </c>
      <c r="J7" s="19">
        <f>D7*H7</f>
        <v>2.5365009652161064E-3</v>
      </c>
    </row>
    <row r="8" spans="1:10">
      <c r="A8" s="166" t="s">
        <v>669</v>
      </c>
      <c r="B8" s="6">
        <v>0</v>
      </c>
      <c r="D8" s="61">
        <v>0</v>
      </c>
      <c r="F8" s="108">
        <v>0</v>
      </c>
      <c r="H8" s="99">
        <f>B8/$B$48</f>
        <v>0</v>
      </c>
      <c r="J8" s="19">
        <f>D8*H8</f>
        <v>0</v>
      </c>
    </row>
    <row r="9" spans="1:10">
      <c r="A9" s="166" t="s">
        <v>481</v>
      </c>
      <c r="B9" s="6">
        <f>'Table 3.18-Nixie UAA'!D37</f>
        <v>4171.6638257682162</v>
      </c>
      <c r="C9" s="11" t="s">
        <v>239</v>
      </c>
      <c r="D9" s="61">
        <f>F9/B9</f>
        <v>1.8872930989254119E-2</v>
      </c>
      <c r="F9" s="108">
        <f>'Table 3.18-Nixie UAA'!I37</f>
        <v>78.731523494091363</v>
      </c>
      <c r="G9" s="11" t="s">
        <v>239</v>
      </c>
      <c r="H9" s="99">
        <f>B9/$B$48</f>
        <v>4.9270772169547616E-3</v>
      </c>
      <c r="J9" s="19">
        <f>D9*H9</f>
        <v>9.2988388294313462E-5</v>
      </c>
    </row>
    <row r="10" spans="1:10">
      <c r="A10" s="60" t="s">
        <v>97</v>
      </c>
      <c r="B10" s="6">
        <f>B5</f>
        <v>278110.92171788111</v>
      </c>
      <c r="D10" s="61">
        <f>F10/B10</f>
        <v>5.6550057605847345E-2</v>
      </c>
      <c r="F10" s="81">
        <f>SUM(F5:F9)</f>
        <v>15727.188643961479</v>
      </c>
      <c r="H10" s="104"/>
      <c r="J10" s="19">
        <f>SUM(J5:J9)</f>
        <v>1.8575100029816657E-2</v>
      </c>
    </row>
    <row r="11" spans="1:10" ht="5" customHeight="1">
      <c r="A11" s="60"/>
      <c r="B11" s="6"/>
      <c r="F11" s="81"/>
      <c r="H11" s="104"/>
    </row>
    <row r="12" spans="1:10">
      <c r="A12" s="14" t="s">
        <v>636</v>
      </c>
      <c r="B12" s="6"/>
      <c r="F12" s="81"/>
      <c r="H12" s="104"/>
    </row>
    <row r="13" spans="1:10">
      <c r="A13" s="258" t="s">
        <v>474</v>
      </c>
      <c r="B13" s="6">
        <f>SUM('Table 3.24-CIOSS Detail'!E6,'Table 3.24-CIOSS Detail'!E10)</f>
        <v>103378.90730023501</v>
      </c>
      <c r="C13" s="11" t="s">
        <v>237</v>
      </c>
      <c r="D13" s="61">
        <f>F13/B13</f>
        <v>4.8544836951515069E-2</v>
      </c>
      <c r="F13" s="108">
        <f>SUM('Table 3.24-CIOSS Detail'!K6,'Table 3.24-CIOSS Detail'!K10)</f>
        <v>5018.5121991156993</v>
      </c>
      <c r="G13" s="11" t="s">
        <v>237</v>
      </c>
      <c r="H13" s="99">
        <f>B13/$B$48</f>
        <v>0.12209897061368981</v>
      </c>
      <c r="J13" s="19">
        <f>D13*H13</f>
        <v>5.9272746203894019E-3</v>
      </c>
    </row>
    <row r="14" spans="1:10">
      <c r="A14" s="258" t="s">
        <v>90</v>
      </c>
      <c r="B14" s="6">
        <f>SUM('Table 3.28-REC Volume'!G6,'Table 3.28-REC Volume'!G10)</f>
        <v>94372.538083045249</v>
      </c>
      <c r="C14" s="11" t="s">
        <v>238</v>
      </c>
      <c r="D14" s="61">
        <f>F14/B14</f>
        <v>0</v>
      </c>
      <c r="F14" s="108">
        <v>0</v>
      </c>
      <c r="H14" s="99">
        <f>B14/$B$48</f>
        <v>0.11146170969554124</v>
      </c>
      <c r="J14" s="19">
        <f>D14*H14</f>
        <v>0</v>
      </c>
    </row>
    <row r="15" spans="1:10">
      <c r="A15" s="166" t="s">
        <v>492</v>
      </c>
      <c r="B15" s="6">
        <f>SUM('Table 3.28-REC Volume'!H6)</f>
        <v>502.66395769949764</v>
      </c>
      <c r="C15" s="11" t="s">
        <v>238</v>
      </c>
      <c r="D15" s="61">
        <f>F15/B15</f>
        <v>0.10707332111359792</v>
      </c>
      <c r="F15" s="81">
        <f>SUM('Table 3.26-REC Detail NonACS'!K6)</f>
        <v>53.821899354990315</v>
      </c>
      <c r="G15" s="11" t="s">
        <v>575</v>
      </c>
      <c r="H15" s="99">
        <f>B15/$B$48</f>
        <v>5.9368737204259906E-4</v>
      </c>
      <c r="J15" s="19">
        <f>D15*H15</f>
        <v>6.3568078627805288E-5</v>
      </c>
    </row>
    <row r="16" spans="1:10">
      <c r="A16" s="166" t="s">
        <v>669</v>
      </c>
      <c r="B16" s="6">
        <f>SUM('Table 3.28-REC Volume'!H10)</f>
        <v>6953.0216499867183</v>
      </c>
      <c r="C16" s="11" t="s">
        <v>238</v>
      </c>
      <c r="D16" s="61">
        <f>F16/B16</f>
        <v>5.3536660556798982E-2</v>
      </c>
      <c r="F16" s="81">
        <f>SUM('Table 3.26-REC Detail NonACS'!K10)</f>
        <v>372.24155991941331</v>
      </c>
      <c r="G16" s="11" t="s">
        <v>575</v>
      </c>
      <c r="H16" s="99">
        <f>B16/$B$48</f>
        <v>8.2120889869005936E-3</v>
      </c>
      <c r="J16" s="19">
        <f>D16*H16</f>
        <v>4.3964782055392433E-4</v>
      </c>
    </row>
    <row r="17" spans="1:10">
      <c r="A17" s="166" t="s">
        <v>482</v>
      </c>
      <c r="B17" s="6">
        <v>1550.6836095035251</v>
      </c>
      <c r="C17" s="11" t="s">
        <v>579</v>
      </c>
      <c r="D17" s="61">
        <f>'Table 3.21-CFS CIOSS Rejs'!I19</f>
        <v>0.32800426929229803</v>
      </c>
      <c r="E17" s="11" t="s">
        <v>580</v>
      </c>
      <c r="F17" s="81">
        <f>B17*D17</f>
        <v>508.63084423874699</v>
      </c>
      <c r="H17" s="99">
        <f>B17/$B$48</f>
        <v>1.8314845592053472E-3</v>
      </c>
      <c r="J17" s="19">
        <f>D17*H17</f>
        <v>6.007347545622765E-4</v>
      </c>
    </row>
    <row r="18" spans="1:10">
      <c r="A18" s="60" t="s">
        <v>97</v>
      </c>
      <c r="B18" s="6">
        <f>B13</f>
        <v>103378.90730023501</v>
      </c>
      <c r="D18" s="61">
        <f>F18/B18</f>
        <v>5.7586278072561101E-2</v>
      </c>
      <c r="F18" s="81">
        <f>SUM(F13:F17)</f>
        <v>5953.2065026288501</v>
      </c>
      <c r="H18" s="104"/>
      <c r="J18" s="19">
        <f>SUM(J13:J17)</f>
        <v>7.0312252741334081E-3</v>
      </c>
    </row>
    <row r="19" spans="1:10" ht="5" customHeight="1"/>
    <row r="20" spans="1:10">
      <c r="A20" s="14" t="s">
        <v>637</v>
      </c>
    </row>
    <row r="21" spans="1:10">
      <c r="A21" s="258" t="s">
        <v>302</v>
      </c>
      <c r="B21" s="6">
        <f>'Table 3.16-Route UAA PARS'!D108</f>
        <v>19882.087235225761</v>
      </c>
      <c r="C21" s="205" t="s">
        <v>583</v>
      </c>
      <c r="D21" s="61">
        <f t="shared" ref="D21:D26" si="0">F21/B21</f>
        <v>0.10836967920391119</v>
      </c>
      <c r="E21" s="205"/>
      <c r="F21" s="108">
        <f>'Table 3.16-Route UAA PARS'!J108</f>
        <v>2154.6154155855934</v>
      </c>
      <c r="G21" s="205" t="s">
        <v>583</v>
      </c>
      <c r="H21" s="99">
        <f t="shared" ref="H21:H27" si="1">B21/$B$48</f>
        <v>2.3482376129420831E-2</v>
      </c>
      <c r="J21" s="19">
        <f t="shared" ref="J21:J27" si="2">D21*H21</f>
        <v>2.544777568090917E-3</v>
      </c>
    </row>
    <row r="22" spans="1:10">
      <c r="A22" s="258" t="s">
        <v>488</v>
      </c>
      <c r="B22" s="6">
        <f>'Table 3.18-Nixie UAA'!D8</f>
        <v>19882.087235225761</v>
      </c>
      <c r="C22" s="205" t="s">
        <v>584</v>
      </c>
      <c r="D22" s="61">
        <f t="shared" si="0"/>
        <v>7.5934757087251607E-3</v>
      </c>
      <c r="E22" s="205"/>
      <c r="F22" s="108">
        <f>'Table 3.18-Nixie UAA'!I8</f>
        <v>150.97414645944141</v>
      </c>
      <c r="G22" s="205" t="s">
        <v>584</v>
      </c>
      <c r="H22" s="99">
        <f t="shared" si="1"/>
        <v>2.3482376129420831E-2</v>
      </c>
      <c r="J22" s="19">
        <f t="shared" si="2"/>
        <v>1.7831285272190464E-4</v>
      </c>
    </row>
    <row r="23" spans="1:10">
      <c r="A23" s="258" t="s">
        <v>474</v>
      </c>
      <c r="B23" s="6">
        <f>SUM('Table 3.24-CIOSS Detail'!E21,'Table 3.24-CIOSS Detail'!E25)</f>
        <v>19882.087235225765</v>
      </c>
      <c r="C23" s="11" t="s">
        <v>237</v>
      </c>
      <c r="D23" s="61">
        <f t="shared" si="0"/>
        <v>4.8544836951515069E-2</v>
      </c>
      <c r="E23" s="205"/>
      <c r="F23" s="108">
        <f>SUM('Table 3.24-CIOSS Detail'!K21,'Table 3.24-CIOSS Detail'!K25)</f>
        <v>965.17268308983375</v>
      </c>
      <c r="G23" s="11" t="s">
        <v>237</v>
      </c>
      <c r="H23" s="99">
        <f t="shared" si="1"/>
        <v>2.3482376129420834E-2</v>
      </c>
      <c r="J23" s="19">
        <f t="shared" si="2"/>
        <v>1.139948120436884E-3</v>
      </c>
    </row>
    <row r="24" spans="1:10">
      <c r="A24" s="258" t="s">
        <v>90</v>
      </c>
      <c r="B24" s="6">
        <f>SUM('Table 3.28-REC Volume'!G21,'Table 3.28-REC Volume'!G25)</f>
        <v>16567.588828539272</v>
      </c>
      <c r="C24" s="11" t="s">
        <v>238</v>
      </c>
      <c r="D24" s="61">
        <f t="shared" si="0"/>
        <v>0</v>
      </c>
      <c r="F24" s="108">
        <v>0</v>
      </c>
      <c r="H24" s="99">
        <f t="shared" si="1"/>
        <v>1.9567681593311962E-2</v>
      </c>
      <c r="J24" s="19">
        <f t="shared" si="2"/>
        <v>0</v>
      </c>
    </row>
    <row r="25" spans="1:10">
      <c r="A25" s="166" t="s">
        <v>492</v>
      </c>
      <c r="B25" s="6">
        <f>SUM('Table 3.28-REC Volume'!H21)</f>
        <v>203.35738881959873</v>
      </c>
      <c r="C25" s="11" t="s">
        <v>238</v>
      </c>
      <c r="D25" s="61">
        <f t="shared" si="0"/>
        <v>0.10707332111359792</v>
      </c>
      <c r="E25" s="205"/>
      <c r="F25" s="108">
        <f>SUM('Table 3.26-REC Detail NonACS'!K21)</f>
        <v>21.774150993903682</v>
      </c>
      <c r="G25" s="11" t="s">
        <v>575</v>
      </c>
      <c r="H25" s="99">
        <f t="shared" si="1"/>
        <v>2.4018175941297102E-4</v>
      </c>
      <c r="J25" s="19">
        <f t="shared" si="2"/>
        <v>2.5717058651253967E-5</v>
      </c>
    </row>
    <row r="26" spans="1:10" ht="12.75" customHeight="1">
      <c r="A26" s="166" t="s">
        <v>669</v>
      </c>
      <c r="B26" s="6">
        <f>SUM('Table 3.28-REC Volume'!H25)</f>
        <v>2812.9097093385071</v>
      </c>
      <c r="C26" s="11" t="s">
        <v>238</v>
      </c>
      <c r="D26" s="61">
        <f t="shared" si="0"/>
        <v>5.3536660556798954E-2</v>
      </c>
      <c r="E26" s="205"/>
      <c r="F26" s="108">
        <f>SUM('Table 3.26-REC Detail NonACS'!K25)</f>
        <v>150.59379228577967</v>
      </c>
      <c r="G26" s="11" t="s">
        <v>575</v>
      </c>
      <c r="H26" s="99">
        <f t="shared" si="1"/>
        <v>3.3222771347545901E-3</v>
      </c>
      <c r="J26" s="19">
        <f t="shared" si="2"/>
        <v>1.7786362323897109E-4</v>
      </c>
    </row>
    <row r="27" spans="1:10">
      <c r="A27" s="166" t="s">
        <v>482</v>
      </c>
      <c r="B27" s="6">
        <f>'Table 3.21-CFS CIOSS Rejs'!B19-B17</f>
        <v>298.23130852838653</v>
      </c>
      <c r="C27" s="205" t="s">
        <v>585</v>
      </c>
      <c r="D27" s="61">
        <f>'Table 3.21-CFS CIOSS Rejs'!I19</f>
        <v>0.32800426929229803</v>
      </c>
      <c r="E27" s="11" t="s">
        <v>580</v>
      </c>
      <c r="F27" s="81">
        <f>B27*D27</f>
        <v>97.821142433939315</v>
      </c>
      <c r="H27" s="99">
        <f t="shared" si="1"/>
        <v>3.5223564194131261E-4</v>
      </c>
      <c r="J27" s="19">
        <f t="shared" si="2"/>
        <v>1.1553479435366377E-4</v>
      </c>
    </row>
    <row r="28" spans="1:10">
      <c r="A28" s="60" t="s">
        <v>97</v>
      </c>
      <c r="B28" s="6">
        <f>B21</f>
        <v>19882.087235225761</v>
      </c>
      <c r="D28" s="61">
        <f>F28/B28</f>
        <v>0.17809756535897645</v>
      </c>
      <c r="F28" s="81">
        <f>SUM(F21:F27)</f>
        <v>3540.9513308484911</v>
      </c>
      <c r="H28" s="104"/>
      <c r="J28" s="19">
        <f>SUM(J21:J27)</f>
        <v>4.1821540174935947E-3</v>
      </c>
    </row>
    <row r="29" spans="1:10" ht="5" customHeight="1">
      <c r="A29" s="60"/>
      <c r="B29" s="6"/>
      <c r="F29" s="81"/>
      <c r="H29" s="104"/>
    </row>
    <row r="30" spans="1:10" ht="12.75" customHeight="1">
      <c r="A30" s="14" t="s">
        <v>638</v>
      </c>
      <c r="B30" s="6"/>
      <c r="F30" s="81"/>
      <c r="H30" s="104"/>
    </row>
    <row r="31" spans="1:10" ht="12.75" customHeight="1">
      <c r="A31" s="258" t="s">
        <v>474</v>
      </c>
      <c r="B31" s="6">
        <f>'Table 3.24-CIOSS Detail'!E16</f>
        <v>29216.411754933612</v>
      </c>
      <c r="C31" s="11" t="s">
        <v>237</v>
      </c>
      <c r="D31" s="61">
        <f>F31/B31</f>
        <v>4.8544836951515069E-2</v>
      </c>
      <c r="F31" s="81">
        <f>'Table 3.24-CIOSS Detail'!K16</f>
        <v>1418.3059449515804</v>
      </c>
      <c r="G31" s="11" t="s">
        <v>237</v>
      </c>
      <c r="H31" s="99">
        <f>B31/$B$48</f>
        <v>3.4506979164936398E-2</v>
      </c>
      <c r="J31" s="19">
        <f>D31*H31</f>
        <v>1.675135677251165E-3</v>
      </c>
    </row>
    <row r="32" spans="1:10" ht="12.75" customHeight="1">
      <c r="A32" s="258" t="s">
        <v>90</v>
      </c>
      <c r="B32" s="6">
        <f>'Table 3.28-REC Volume'!G16</f>
        <v>26671.078298252974</v>
      </c>
      <c r="C32" s="11" t="s">
        <v>238</v>
      </c>
      <c r="D32" s="61">
        <f>F32/B32</f>
        <v>0</v>
      </c>
      <c r="F32" s="81">
        <v>0</v>
      </c>
      <c r="H32" s="99">
        <f>B32/$B$48</f>
        <v>3.1500731536232895E-2</v>
      </c>
      <c r="J32" s="19">
        <f>D32*H32</f>
        <v>0</v>
      </c>
    </row>
    <row r="33" spans="1:10" ht="12.75" customHeight="1">
      <c r="A33" s="166" t="s">
        <v>492</v>
      </c>
      <c r="B33" s="6">
        <v>0</v>
      </c>
      <c r="D33" s="61">
        <v>0</v>
      </c>
      <c r="F33" s="108">
        <v>0</v>
      </c>
      <c r="H33" s="99">
        <f>B33/$B$48</f>
        <v>0</v>
      </c>
      <c r="J33" s="19">
        <f>D33*H33</f>
        <v>0</v>
      </c>
    </row>
    <row r="34" spans="1:10" ht="12.75" customHeight="1">
      <c r="A34" s="166" t="s">
        <v>669</v>
      </c>
      <c r="B34" s="6">
        <f>'Table 3.28-REC Volume'!H16</f>
        <v>2107.0872803566358</v>
      </c>
      <c r="C34" s="11" t="s">
        <v>238</v>
      </c>
      <c r="D34" s="61">
        <f>F34/B34</f>
        <v>5.3536660556798961E-2</v>
      </c>
      <c r="E34" s="205"/>
      <c r="F34" s="108">
        <f>SUM('Table 3.26-REC Detail NonACS'!K16)</f>
        <v>112.8064164920019</v>
      </c>
      <c r="G34" s="11" t="s">
        <v>575</v>
      </c>
      <c r="H34" s="99">
        <f>B34/$B$48</f>
        <v>2.4886429412294591E-3</v>
      </c>
      <c r="J34" s="19">
        <f>D34*H34</f>
        <v>1.3323363239167534E-4</v>
      </c>
    </row>
    <row r="35" spans="1:10" ht="12.75" customHeight="1">
      <c r="A35" s="166" t="s">
        <v>482</v>
      </c>
      <c r="B35" s="6">
        <v>438.24617632400441</v>
      </c>
      <c r="C35" s="11" t="s">
        <v>586</v>
      </c>
      <c r="D35" s="61">
        <f>'Table 3.21-CFS CIOSS Rejs'!I76</f>
        <v>2.6418630523124261E-2</v>
      </c>
      <c r="E35" s="11" t="s">
        <v>580</v>
      </c>
      <c r="F35" s="81">
        <f>B35*D35</f>
        <v>11.57786381047584</v>
      </c>
      <c r="H35" s="99">
        <f>B35/$B$48</f>
        <v>5.1760468747404618E-4</v>
      </c>
      <c r="J35" s="19">
        <f>D35*H35</f>
        <v>1.367440699541403E-5</v>
      </c>
    </row>
    <row r="36" spans="1:10" ht="12.75" customHeight="1">
      <c r="A36" s="60" t="s">
        <v>97</v>
      </c>
      <c r="B36" s="6">
        <f>B31</f>
        <v>29216.411754933612</v>
      </c>
      <c r="D36" s="61">
        <f>F36/B36</f>
        <v>5.2802179754108676E-2</v>
      </c>
      <c r="F36" s="81">
        <f>SUM(F31:F35)</f>
        <v>1542.6902252540583</v>
      </c>
      <c r="H36" s="104"/>
      <c r="J36" s="19">
        <f>SUM(J31:J35)</f>
        <v>1.8220437166382544E-3</v>
      </c>
    </row>
    <row r="37" spans="1:10" ht="5" customHeight="1">
      <c r="A37" s="60"/>
      <c r="B37" s="6"/>
      <c r="F37" s="81"/>
      <c r="H37" s="104"/>
    </row>
    <row r="38" spans="1:10" ht="12.75" customHeight="1">
      <c r="A38" s="14" t="s">
        <v>639</v>
      </c>
      <c r="B38" s="6"/>
      <c r="F38" s="81"/>
      <c r="H38" s="104"/>
    </row>
    <row r="39" spans="1:10" ht="12.75" customHeight="1">
      <c r="A39" s="258" t="s">
        <v>302</v>
      </c>
      <c r="B39" s="6">
        <f>'Table 3.16-Route UAA PARS'!D101</f>
        <v>416092.9075552625</v>
      </c>
      <c r="C39" s="205" t="s">
        <v>583</v>
      </c>
      <c r="D39" s="61">
        <f>F39/B39</f>
        <v>0.1169245689248079</v>
      </c>
      <c r="F39" s="81">
        <f>'Table 3.16-Route UAA PARS'!J101</f>
        <v>48651.483848569012</v>
      </c>
      <c r="G39" s="205" t="s">
        <v>583</v>
      </c>
      <c r="H39" s="99">
        <f t="shared" ref="H39:H45" si="3">B39/$B$48</f>
        <v>0.49143985962830206</v>
      </c>
      <c r="J39" s="19">
        <f t="shared" ref="J39:J45" si="4">D39*H39</f>
        <v>5.7461393739507323E-2</v>
      </c>
    </row>
    <row r="40" spans="1:10" ht="12.75" customHeight="1">
      <c r="A40" s="258" t="s">
        <v>488</v>
      </c>
      <c r="B40" s="6">
        <f>'Table 3.18-Nixie UAA'!D11</f>
        <v>416092.9075552625</v>
      </c>
      <c r="C40" s="205" t="s">
        <v>584</v>
      </c>
      <c r="D40" s="61">
        <f>F40/B40</f>
        <v>7.5934757087251607E-3</v>
      </c>
      <c r="F40" s="81">
        <f>'Table 3.18-Nixie UAA'!I11</f>
        <v>3159.5913860937098</v>
      </c>
      <c r="G40" s="205" t="s">
        <v>584</v>
      </c>
      <c r="H40" s="99">
        <f t="shared" si="3"/>
        <v>0.49143985962830206</v>
      </c>
      <c r="J40" s="19">
        <f t="shared" si="4"/>
        <v>3.7317366363868146E-3</v>
      </c>
    </row>
    <row r="41" spans="1:10" ht="12.75" customHeight="1">
      <c r="A41" s="258" t="s">
        <v>474</v>
      </c>
      <c r="B41" s="6">
        <f>SUM('Table 3.24-CIOSS Detail'!E31,'Table 3.24-CIOSS Detail'!E37)</f>
        <v>416092.9075552625</v>
      </c>
      <c r="C41" s="11" t="s">
        <v>237</v>
      </c>
      <c r="D41" s="61">
        <f>F41/B41</f>
        <v>2.2011742600179431E-2</v>
      </c>
      <c r="F41" s="81">
        <f>SUM('Table 3.24-CIOSS Detail'!K31,'Table 3.24-CIOSS Detail'!K37)</f>
        <v>9158.929978866694</v>
      </c>
      <c r="G41" s="11" t="s">
        <v>237</v>
      </c>
      <c r="H41" s="99">
        <f t="shared" si="3"/>
        <v>0.49143985962830206</v>
      </c>
      <c r="J41" s="19">
        <f t="shared" si="4"/>
        <v>1.0817447693606496E-2</v>
      </c>
    </row>
    <row r="42" spans="1:10" ht="12.75" customHeight="1">
      <c r="A42" s="258" t="s">
        <v>90</v>
      </c>
      <c r="B42" s="6">
        <f>SUM('Table 3.28-REC Volume'!G31,'Table 3.28-REC Volume'!G37)</f>
        <v>346726.98722663627</v>
      </c>
      <c r="C42" s="11" t="s">
        <v>238</v>
      </c>
      <c r="D42" s="61">
        <f>F42/B42</f>
        <v>0</v>
      </c>
      <c r="F42" s="81">
        <v>0</v>
      </c>
      <c r="H42" s="99">
        <f t="shared" si="3"/>
        <v>0.40951301701620929</v>
      </c>
      <c r="J42" s="19">
        <f t="shared" si="4"/>
        <v>0</v>
      </c>
    </row>
    <row r="43" spans="1:10" ht="12.75" customHeight="1">
      <c r="A43" s="166" t="s">
        <v>492</v>
      </c>
      <c r="B43" s="6">
        <v>0</v>
      </c>
      <c r="C43" s="11"/>
      <c r="D43" s="61">
        <v>0</v>
      </c>
      <c r="F43" s="108">
        <v>0</v>
      </c>
      <c r="H43" s="99">
        <f t="shared" si="3"/>
        <v>0</v>
      </c>
      <c r="J43" s="19">
        <f t="shared" si="4"/>
        <v>0</v>
      </c>
    </row>
    <row r="44" spans="1:10" ht="12.75" customHeight="1">
      <c r="A44" s="166" t="s">
        <v>669</v>
      </c>
      <c r="B44" s="6">
        <f>SUM('Table 3.28-REC Volume'!H31,'Table 3.28-REC Volume'!H37)</f>
        <v>63124.526715297317</v>
      </c>
      <c r="C44" s="11" t="s">
        <v>238</v>
      </c>
      <c r="D44" s="61">
        <f>F44/B44</f>
        <v>5.3536660556798954E-2</v>
      </c>
      <c r="E44" s="205"/>
      <c r="F44" s="81">
        <f>SUM('Table 3.26-REC Detail NonACS'!K31,'Table 3.26-REC Detail NonACS'!K37)</f>
        <v>3379.4763595654599</v>
      </c>
      <c r="G44" s="11" t="s">
        <v>575</v>
      </c>
      <c r="H44" s="99">
        <f t="shared" si="3"/>
        <v>7.4555244717668279E-2</v>
      </c>
      <c r="J44" s="19">
        <f t="shared" si="4"/>
        <v>3.9914388291788852E-3</v>
      </c>
    </row>
    <row r="45" spans="1:10" ht="12.75" customHeight="1">
      <c r="A45" s="166" t="s">
        <v>482</v>
      </c>
      <c r="B45" s="6">
        <f>'Table 3.21-CFS CIOSS Rejs'!B76-B35</f>
        <v>6241.3936133289371</v>
      </c>
      <c r="C45" s="11" t="s">
        <v>587</v>
      </c>
      <c r="D45" s="61">
        <f>'Table 3.21-CFS CIOSS Rejs'!I76</f>
        <v>2.6418630523124261E-2</v>
      </c>
      <c r="E45" s="11" t="s">
        <v>580</v>
      </c>
      <c r="F45" s="81">
        <f>B45*D45</f>
        <v>164.88907181992468</v>
      </c>
      <c r="H45" s="99">
        <f t="shared" si="3"/>
        <v>7.3715978944245307E-3</v>
      </c>
      <c r="J45" s="19">
        <f t="shared" si="4"/>
        <v>1.9474752113784243E-4</v>
      </c>
    </row>
    <row r="46" spans="1:10" ht="12.75" customHeight="1">
      <c r="A46" s="60" t="s">
        <v>97</v>
      </c>
      <c r="B46" s="6">
        <f>B39</f>
        <v>416092.9075552625</v>
      </c>
      <c r="D46" s="61">
        <f>F46/B46</f>
        <v>0.15504799402606126</v>
      </c>
      <c r="F46" s="81">
        <f>SUM(F39:F45)</f>
        <v>64514.370644914794</v>
      </c>
      <c r="H46" s="104"/>
      <c r="J46" s="19">
        <f>SUM(J39:J45)</f>
        <v>7.6196764419817362E-2</v>
      </c>
    </row>
    <row r="47" spans="1:10" ht="5" customHeight="1">
      <c r="A47" s="60"/>
      <c r="B47" s="6"/>
      <c r="F47" s="81"/>
      <c r="H47" s="104"/>
    </row>
    <row r="48" spans="1:10">
      <c r="A48" s="14" t="s">
        <v>497</v>
      </c>
      <c r="B48" s="260">
        <f>SUM(B10,B18,B28,B36,B46)</f>
        <v>846681.23556353804</v>
      </c>
      <c r="D48" s="61"/>
      <c r="F48" s="368">
        <f>SUM(F10,F18,F28,F36,F46)</f>
        <v>91278.407347607674</v>
      </c>
      <c r="H48" s="104"/>
      <c r="J48" s="311">
        <f>SUM(J10,J18,J28,J36,J46)</f>
        <v>0.10780728745789928</v>
      </c>
    </row>
    <row r="49" spans="1:11" hidden="1">
      <c r="A49" s="5"/>
      <c r="B49" s="167"/>
      <c r="F49" s="262"/>
      <c r="H49" s="6"/>
      <c r="J49" s="6"/>
    </row>
    <row r="50" spans="1:11" hidden="1">
      <c r="A50" s="20" t="s">
        <v>186</v>
      </c>
      <c r="B50" s="105">
        <f>B5-SUM(B6:B9)</f>
        <v>0</v>
      </c>
      <c r="G50" s="365" t="s">
        <v>306</v>
      </c>
      <c r="H50" s="6">
        <f>SUM('Table 3.16-Route UAA PARS'!J101,'Table 3.16-Route UAA PARS'!J108)</f>
        <v>50806.099264154604</v>
      </c>
      <c r="J50" s="6">
        <f>SUM(F21,F39)</f>
        <v>50806.099264154604</v>
      </c>
      <c r="K50" s="105">
        <f t="shared" ref="K50:K55" si="5">H50-J50</f>
        <v>0</v>
      </c>
    </row>
    <row r="51" spans="1:11" hidden="1">
      <c r="A51" s="5"/>
      <c r="B51" s="105">
        <f>B13-SUM(B14:B17)</f>
        <v>0</v>
      </c>
      <c r="G51" s="36" t="s">
        <v>307</v>
      </c>
      <c r="H51" s="6">
        <f>SUM('Table 3.18-Nixie UAA'!I8,'Table 3.18-Nixie UAA'!I11,'Table 3.18-Nixie UAA'!I35,'Table 3.18-Nixie UAA'!I37)</f>
        <v>3389.2970560472427</v>
      </c>
      <c r="J51" s="6">
        <f>SUM(F9,F22,F40)</f>
        <v>3389.2970560472427</v>
      </c>
      <c r="K51" s="105">
        <f t="shared" si="5"/>
        <v>0</v>
      </c>
    </row>
    <row r="52" spans="1:11" hidden="1">
      <c r="A52" s="5"/>
      <c r="B52" s="105">
        <f>B28-SUM(B24:B27)</f>
        <v>0</v>
      </c>
      <c r="G52" s="36" t="s">
        <v>308</v>
      </c>
      <c r="H52" s="6">
        <f>SUM('Table 3.21-CFS CIOSS Rejs'!H19,'Table 3.21-CFS CIOSS Rejs'!H76)</f>
        <v>782.91892230308679</v>
      </c>
      <c r="J52" s="6">
        <f>SUM(F17,F27,F35,F45)</f>
        <v>782.91892230308679</v>
      </c>
      <c r="K52" s="105">
        <f t="shared" si="5"/>
        <v>0</v>
      </c>
    </row>
    <row r="53" spans="1:11" hidden="1">
      <c r="A53" s="5"/>
      <c r="B53" s="105">
        <f>B31-SUM(B32:B35)</f>
        <v>0</v>
      </c>
      <c r="G53" s="365" t="s">
        <v>495</v>
      </c>
      <c r="H53" s="6">
        <f>SUM('Table 3.23-CIOSS Summary'!I6,'Table 3.23-CIOSS Summary'!I10,'Table 3.23-CIOSS Summary'!I13)</f>
        <v>30061.770155253915</v>
      </c>
      <c r="J53" s="6">
        <f>SUM(F5,F13,F23,F31,F41)</f>
        <v>30061.770155253918</v>
      </c>
      <c r="K53" s="105">
        <f t="shared" si="5"/>
        <v>0</v>
      </c>
    </row>
    <row r="54" spans="1:11" hidden="1">
      <c r="A54" s="5"/>
      <c r="B54" s="105">
        <f>B41-SUM(B42:B45)</f>
        <v>0</v>
      </c>
      <c r="G54" s="365" t="s">
        <v>496</v>
      </c>
      <c r="H54" s="6">
        <f>SUM('Table 3.25-REC Summary'!K6,'Table 3.25-REC Summary'!K10,'Table 3.25-REC Summary'!K13)</f>
        <v>6238.3219498488288</v>
      </c>
      <c r="J54" s="6">
        <f>SUM(F7:F8,F15:F16,F25:F26,F33:F34,F43:F44)</f>
        <v>6238.3219498488288</v>
      </c>
      <c r="K54" s="105">
        <f t="shared" si="5"/>
        <v>0</v>
      </c>
    </row>
    <row r="55" spans="1:11" hidden="1">
      <c r="A55" s="5"/>
      <c r="B55" s="105">
        <f>B48-SUM('Table 3.23-CIOSS Summary'!C6,'Table 3.23-CIOSS Summary'!C10,'Table 3.23-CIOSS Summary'!C13)</f>
        <v>0</v>
      </c>
      <c r="G55" s="36" t="s">
        <v>309</v>
      </c>
      <c r="H55" s="6">
        <f>SUM(H50:H54)</f>
        <v>91278.407347607674</v>
      </c>
      <c r="J55" s="6">
        <f>SUM(J50:J54)</f>
        <v>91278.407347607688</v>
      </c>
      <c r="K55" s="105">
        <f t="shared" si="5"/>
        <v>0</v>
      </c>
    </row>
    <row r="56" spans="1:11">
      <c r="A56" s="204"/>
      <c r="B56" s="204"/>
      <c r="C56" s="204"/>
      <c r="D56" s="204"/>
      <c r="E56" s="204"/>
      <c r="F56" s="204"/>
      <c r="H56" s="167"/>
    </row>
    <row r="57" spans="1:11">
      <c r="A57" s="12" t="s">
        <v>230</v>
      </c>
    </row>
    <row r="58" spans="1:11">
      <c r="A58" s="11" t="s">
        <v>62</v>
      </c>
      <c r="D58" s="11"/>
      <c r="E58" s="11" t="s">
        <v>68</v>
      </c>
    </row>
    <row r="59" spans="1:11">
      <c r="A59" s="11" t="s">
        <v>63</v>
      </c>
      <c r="D59" s="11"/>
      <c r="E59" s="11" t="s">
        <v>612</v>
      </c>
    </row>
    <row r="60" spans="1:11">
      <c r="A60" s="11" t="s">
        <v>64</v>
      </c>
      <c r="D60" s="11"/>
      <c r="E60" s="11" t="s">
        <v>69</v>
      </c>
    </row>
    <row r="61" spans="1:11">
      <c r="A61" s="11" t="s">
        <v>27</v>
      </c>
      <c r="E61" s="11" t="s">
        <v>70</v>
      </c>
    </row>
    <row r="62" spans="1:11">
      <c r="A62" s="11" t="s">
        <v>28</v>
      </c>
      <c r="E62" s="11" t="s">
        <v>71</v>
      </c>
    </row>
    <row r="63" spans="1:11">
      <c r="A63" s="11" t="s">
        <v>65</v>
      </c>
      <c r="E63" s="11" t="s">
        <v>29</v>
      </c>
    </row>
    <row r="64" spans="1:11">
      <c r="A64" s="11" t="s">
        <v>690</v>
      </c>
      <c r="E64" s="11" t="s">
        <v>30</v>
      </c>
    </row>
    <row r="65" spans="1:5">
      <c r="A65" s="11" t="s">
        <v>66</v>
      </c>
      <c r="E65" s="11" t="s">
        <v>38</v>
      </c>
    </row>
    <row r="66" spans="1:5">
      <c r="A66" s="11" t="s">
        <v>67</v>
      </c>
    </row>
  </sheetData>
  <phoneticPr fontId="5" type="noConversion"/>
  <printOptions horizontalCentered="1"/>
  <pageMargins left="0.75" right="0.75" top="1" bottom="1" header="0.5" footer="0.5"/>
  <pageSetup scale="65" orientation="landscape" r:id="rId1"/>
  <headerFooter alignWithMargins="0">
    <oddFooter>&amp;L&amp;F</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pageSetUpPr fitToPage="1"/>
  </sheetPr>
  <dimension ref="A1:K31"/>
  <sheetViews>
    <sheetView zoomScale="70" workbookViewId="0"/>
  </sheetViews>
  <sheetFormatPr baseColWidth="10" defaultColWidth="8.83203125" defaultRowHeight="13"/>
  <cols>
    <col min="1" max="1" width="50" customWidth="1"/>
    <col min="2" max="2" width="11.5" customWidth="1"/>
    <col min="3" max="3" width="3.5" customWidth="1"/>
    <col min="4" max="4" width="11.5" customWidth="1"/>
    <col min="5" max="5" width="3.5" customWidth="1"/>
    <col min="6" max="6" width="11.5" customWidth="1"/>
    <col min="7" max="7" width="3.5" customWidth="1"/>
    <col min="8" max="8" width="11.5" customWidth="1"/>
    <col min="9" max="9" width="3.5" customWidth="1"/>
    <col min="10" max="10" width="11.5" customWidth="1"/>
  </cols>
  <sheetData>
    <row r="1" spans="1:10" s="12" customFormat="1" ht="16">
      <c r="A1" s="117" t="s">
        <v>546</v>
      </c>
      <c r="B1" s="16"/>
      <c r="C1" s="16"/>
      <c r="D1" s="16"/>
      <c r="E1" s="16"/>
      <c r="F1" s="16"/>
      <c r="G1" s="16"/>
      <c r="H1" s="16"/>
      <c r="I1" s="16"/>
      <c r="J1" s="16"/>
    </row>
    <row r="2" spans="1:10" s="12" customFormat="1" ht="16">
      <c r="A2" s="117" t="s">
        <v>780</v>
      </c>
      <c r="B2" s="16"/>
      <c r="C2" s="16"/>
      <c r="D2" s="16"/>
      <c r="E2" s="16"/>
      <c r="F2" s="16"/>
      <c r="G2" s="16"/>
      <c r="H2" s="16"/>
      <c r="I2" s="16"/>
      <c r="J2" s="16"/>
    </row>
    <row r="3" spans="1:10" ht="28">
      <c r="B3" s="125" t="s">
        <v>104</v>
      </c>
      <c r="C3" s="125"/>
      <c r="D3" s="126" t="s">
        <v>99</v>
      </c>
      <c r="E3" s="126"/>
      <c r="F3" s="125" t="s">
        <v>105</v>
      </c>
      <c r="G3" s="125"/>
      <c r="H3" s="127" t="s">
        <v>92</v>
      </c>
      <c r="I3" s="127"/>
      <c r="J3" s="128" t="s">
        <v>100</v>
      </c>
    </row>
    <row r="4" spans="1:10">
      <c r="A4" s="14" t="s">
        <v>75</v>
      </c>
      <c r="F4" s="81"/>
      <c r="H4" s="104"/>
    </row>
    <row r="5" spans="1:10">
      <c r="A5" s="258" t="s">
        <v>302</v>
      </c>
      <c r="B5" s="6">
        <f>'Table 3.15-Route UAA NoPARS'!D111+'Table 3.16-Route UAA PARS'!D111</f>
        <v>1368978.5487081872</v>
      </c>
      <c r="C5" s="11" t="s">
        <v>235</v>
      </c>
      <c r="D5" s="61">
        <f>F5/B5</f>
        <v>3.9956753748626887E-2</v>
      </c>
      <c r="F5" s="108">
        <f>'Table 3.15-Route UAA NoPARS'!J111+'Table 3.16-Route UAA PARS'!J111</f>
        <v>54699.938757885655</v>
      </c>
      <c r="G5" s="11" t="s">
        <v>235</v>
      </c>
      <c r="H5" s="104">
        <f>B5/$B$20</f>
        <v>0.94256638440234286</v>
      </c>
      <c r="J5" s="19">
        <f>D5*H5</f>
        <v>3.7661892913298002E-2</v>
      </c>
    </row>
    <row r="6" spans="1:10">
      <c r="A6" s="60" t="s">
        <v>480</v>
      </c>
      <c r="B6" s="6">
        <f>SUM('Table 3.18-Nixie UAA'!D20,'Table 3.18-Nixie UAA'!D29)</f>
        <v>1368978.5487081872</v>
      </c>
      <c r="C6" s="11" t="s">
        <v>236</v>
      </c>
      <c r="D6" s="61">
        <f>F6/B6</f>
        <v>2.1362779315464275E-2</v>
      </c>
      <c r="F6" s="108">
        <f>SUM('Table 3.18-Nixie UAA'!I20,'Table 3.18-Nixie UAA'!I29)</f>
        <v>29245.186623657562</v>
      </c>
      <c r="G6" s="11" t="s">
        <v>236</v>
      </c>
      <c r="H6" s="104">
        <f>B6/$B$20</f>
        <v>0.94256638440234286</v>
      </c>
      <c r="J6" s="19">
        <f>D6*H6</f>
        <v>2.0135837660162317E-2</v>
      </c>
    </row>
    <row r="7" spans="1:10">
      <c r="A7" s="60" t="s">
        <v>97</v>
      </c>
      <c r="B7" s="6">
        <f>B5</f>
        <v>1368978.5487081872</v>
      </c>
      <c r="D7" s="61">
        <f>F7/B7</f>
        <v>6.1319533064091158E-2</v>
      </c>
      <c r="F7" s="81">
        <f>SUM(F5:F6)</f>
        <v>83945.125381543214</v>
      </c>
      <c r="H7" s="104"/>
      <c r="J7" s="19">
        <f>SUM(J5:J6)</f>
        <v>5.7797730573460319E-2</v>
      </c>
    </row>
    <row r="8" spans="1:10" ht="5" customHeight="1">
      <c r="E8" s="205"/>
      <c r="F8" s="108"/>
      <c r="H8" s="104"/>
      <c r="J8" s="61"/>
    </row>
    <row r="9" spans="1:10">
      <c r="A9" s="14" t="s">
        <v>76</v>
      </c>
      <c r="E9" s="205"/>
      <c r="F9" s="108"/>
      <c r="H9" s="104"/>
      <c r="J9" s="61"/>
    </row>
    <row r="10" spans="1:10">
      <c r="A10" s="258" t="s">
        <v>302</v>
      </c>
      <c r="B10" s="6">
        <f>'Table 3.15-Route UAA NoPARS'!D108</f>
        <v>65556.920187931828</v>
      </c>
      <c r="C10" s="11" t="s">
        <v>237</v>
      </c>
      <c r="D10" s="61">
        <f>F10/B10</f>
        <v>0.16880236878402385</v>
      </c>
      <c r="E10" s="205"/>
      <c r="F10" s="108">
        <f>'Table 3.15-Route UAA NoPARS'!J108</f>
        <v>11066.163417908087</v>
      </c>
      <c r="G10" s="11" t="s">
        <v>237</v>
      </c>
      <c r="H10" s="104">
        <f>B10/$B$20</f>
        <v>4.5137120148741973E-2</v>
      </c>
      <c r="J10" s="19">
        <f>D10*H10</f>
        <v>7.6192528011967365E-3</v>
      </c>
    </row>
    <row r="11" spans="1:10">
      <c r="A11" s="60" t="s">
        <v>91</v>
      </c>
      <c r="B11" s="6">
        <f>'Table 3.20-CFS Non-CIOSS'!B19</f>
        <v>65556.920187931813</v>
      </c>
      <c r="C11" s="11" t="s">
        <v>238</v>
      </c>
      <c r="D11" s="61">
        <f>F11/B11</f>
        <v>0.3280042692922982</v>
      </c>
      <c r="F11" s="108">
        <f>'Table 3.20-CFS Non-CIOSS'!H19</f>
        <v>21502.949703296086</v>
      </c>
      <c r="G11" s="11" t="s">
        <v>238</v>
      </c>
      <c r="H11" s="104">
        <f>B11/$B$20</f>
        <v>4.5137120148741966E-2</v>
      </c>
      <c r="J11" s="19">
        <f>D11*H11</f>
        <v>1.4805168112346778E-2</v>
      </c>
    </row>
    <row r="12" spans="1:10">
      <c r="A12" s="60" t="s">
        <v>97</v>
      </c>
      <c r="B12" s="6">
        <f>B10</f>
        <v>65556.920187931828</v>
      </c>
      <c r="D12" s="61">
        <f>F12/B12</f>
        <v>0.49680663807632197</v>
      </c>
      <c r="F12" s="81">
        <f>SUM(F10:F11)</f>
        <v>32569.113121204173</v>
      </c>
      <c r="H12" s="104"/>
      <c r="J12" s="19">
        <f>SUM(J10:J11)</f>
        <v>2.2424420913543516E-2</v>
      </c>
    </row>
    <row r="13" spans="1:10" ht="5" customHeight="1">
      <c r="A13" s="60"/>
      <c r="F13" s="81"/>
      <c r="H13" s="104"/>
    </row>
    <row r="14" spans="1:10">
      <c r="A14" s="14" t="s">
        <v>77</v>
      </c>
      <c r="F14" s="81"/>
      <c r="H14" s="104"/>
    </row>
    <row r="15" spans="1:10">
      <c r="A15" s="258" t="s">
        <v>302</v>
      </c>
      <c r="B15" s="6">
        <f>'Table 3.15-Route UAA NoPARS'!D101</f>
        <v>17859.366483270736</v>
      </c>
      <c r="C15" s="11" t="s">
        <v>237</v>
      </c>
      <c r="D15" s="61">
        <f>F15/B15</f>
        <v>0.18893335649627402</v>
      </c>
      <c r="F15" s="108">
        <f>'Table 3.15-Route UAA NoPARS'!J101</f>
        <v>3374.2300545813978</v>
      </c>
      <c r="G15" s="11" t="s">
        <v>237</v>
      </c>
      <c r="H15" s="104">
        <f>B15/$B$20</f>
        <v>1.229649544891529E-2</v>
      </c>
      <c r="J15" s="19">
        <f>D15*H15</f>
        <v>2.3232181583047237E-3</v>
      </c>
    </row>
    <row r="16" spans="1:10">
      <c r="A16" s="258" t="s">
        <v>304</v>
      </c>
      <c r="B16" s="6">
        <v>0</v>
      </c>
      <c r="C16" s="11" t="s">
        <v>236</v>
      </c>
      <c r="D16" s="61">
        <v>0</v>
      </c>
      <c r="F16" s="108">
        <v>0</v>
      </c>
      <c r="G16" s="11" t="s">
        <v>236</v>
      </c>
      <c r="H16" s="104">
        <f>B16/$B$20</f>
        <v>0</v>
      </c>
      <c r="J16" s="19">
        <f>D16*H16</f>
        <v>0</v>
      </c>
    </row>
    <row r="17" spans="1:11">
      <c r="A17" s="60" t="s">
        <v>91</v>
      </c>
      <c r="B17" s="6">
        <f>'Table 3.20-CFS Non-CIOSS'!B76</f>
        <v>17859.36648327074</v>
      </c>
      <c r="C17" s="11" t="s">
        <v>238</v>
      </c>
      <c r="D17" s="61">
        <f>F17/B17</f>
        <v>2.6418630523124303E-2</v>
      </c>
      <c r="F17" s="108">
        <f>'Table 3.20-CFS Non-CIOSS'!H76</f>
        <v>471.82000449859953</v>
      </c>
      <c r="G17" s="11" t="s">
        <v>238</v>
      </c>
      <c r="H17" s="104">
        <f>B17/$B$20</f>
        <v>1.2296495448915293E-2</v>
      </c>
      <c r="J17" s="19">
        <f>D17*H17</f>
        <v>3.2485656999417262E-4</v>
      </c>
    </row>
    <row r="18" spans="1:11">
      <c r="A18" s="60" t="s">
        <v>97</v>
      </c>
      <c r="B18" s="6">
        <f>B15</f>
        <v>17859.366483270736</v>
      </c>
      <c r="D18" s="61">
        <f>F18/B18</f>
        <v>0.21535198701939834</v>
      </c>
      <c r="F18" s="81">
        <f>SUM(F15:F17)</f>
        <v>3846.0500590799975</v>
      </c>
      <c r="H18" s="104"/>
      <c r="J18" s="19">
        <f>SUM(J15:J17)</f>
        <v>2.6480747282988963E-3</v>
      </c>
    </row>
    <row r="19" spans="1:11" ht="5" customHeight="1">
      <c r="A19" s="250"/>
      <c r="B19" s="6"/>
      <c r="C19" s="11"/>
      <c r="F19" s="81"/>
      <c r="H19" s="104"/>
    </row>
    <row r="20" spans="1:11">
      <c r="A20" s="14" t="s">
        <v>487</v>
      </c>
      <c r="B20" s="260">
        <f>SUM(B7,B12,B18)</f>
        <v>1452394.8353793896</v>
      </c>
      <c r="D20" s="61"/>
      <c r="F20" s="370">
        <f>SUM(F7,F12,F18)</f>
        <v>120360.28856182737</v>
      </c>
      <c r="H20" s="104"/>
      <c r="J20" s="259">
        <f>SUM(J7,J12,J18)</f>
        <v>8.2870226215302725E-2</v>
      </c>
    </row>
    <row r="21" spans="1:11" hidden="1">
      <c r="A21" s="5"/>
      <c r="B21" s="167"/>
      <c r="F21" s="262"/>
      <c r="H21" s="6"/>
      <c r="J21" s="6"/>
    </row>
    <row r="22" spans="1:11" hidden="1">
      <c r="A22" s="20" t="s">
        <v>186</v>
      </c>
      <c r="B22" s="167"/>
      <c r="G22" s="365" t="s">
        <v>306</v>
      </c>
      <c r="H22" s="6">
        <f>SUM('Table 3.15-Route UAA NoPARS'!J101,'Table 3.15-Route UAA NoPARS'!J108,'Table 3.15-Route UAA NoPARS'!J111)+'Table 3.16-Route UAA PARS'!J111</f>
        <v>69140.332230375134</v>
      </c>
      <c r="J22" s="6">
        <f>SUM(F5,F10,F15)</f>
        <v>69140.332230375134</v>
      </c>
      <c r="K22" s="105">
        <f>H22-J22</f>
        <v>0</v>
      </c>
    </row>
    <row r="23" spans="1:11" hidden="1">
      <c r="A23" s="5"/>
      <c r="B23" s="167"/>
      <c r="G23" s="36" t="s">
        <v>307</v>
      </c>
      <c r="H23" s="6">
        <f>SUM('Table 3.18-Nixie UAA'!I20,'Table 3.18-Nixie UAA'!I29)</f>
        <v>29245.186623657562</v>
      </c>
      <c r="J23" s="6">
        <f>SUM(F6,F16)</f>
        <v>29245.186623657562</v>
      </c>
      <c r="K23" s="105">
        <f>H23-J23</f>
        <v>0</v>
      </c>
    </row>
    <row r="24" spans="1:11" hidden="1">
      <c r="A24" s="5"/>
      <c r="B24" s="167"/>
      <c r="G24" s="36" t="s">
        <v>308</v>
      </c>
      <c r="H24" s="6">
        <f>SUM('Table 3.20-CFS Non-CIOSS'!H19,'Table 3.20-CFS Non-CIOSS'!H76)</f>
        <v>21974.769707794687</v>
      </c>
      <c r="J24" s="6">
        <f>SUM(F11,F17)</f>
        <v>21974.769707794687</v>
      </c>
      <c r="K24" s="105">
        <f>H24-J24</f>
        <v>0</v>
      </c>
    </row>
    <row r="25" spans="1:11" hidden="1">
      <c r="A25" s="5"/>
      <c r="B25" s="167"/>
      <c r="G25" s="36" t="s">
        <v>309</v>
      </c>
      <c r="H25" s="6">
        <f>SUM(H22:H24)</f>
        <v>120360.28856182739</v>
      </c>
      <c r="J25" s="6">
        <f>SUM(J22:J24)</f>
        <v>120360.28856182739</v>
      </c>
      <c r="K25" s="105">
        <f>H25-J25</f>
        <v>0</v>
      </c>
    </row>
    <row r="26" spans="1:11">
      <c r="A26" s="204"/>
      <c r="B26" s="204"/>
      <c r="C26" s="204"/>
      <c r="D26" s="204"/>
      <c r="E26" s="204"/>
      <c r="F26" s="204"/>
      <c r="H26" s="167"/>
    </row>
    <row r="27" spans="1:11">
      <c r="A27" s="12" t="s">
        <v>230</v>
      </c>
    </row>
    <row r="28" spans="1:11">
      <c r="A28" s="11" t="s">
        <v>78</v>
      </c>
      <c r="D28" s="11"/>
      <c r="E28" s="11" t="s">
        <v>593</v>
      </c>
    </row>
    <row r="29" spans="1:11">
      <c r="A29" s="11" t="s">
        <v>79</v>
      </c>
      <c r="D29" s="11"/>
      <c r="E29" s="11" t="s">
        <v>81</v>
      </c>
    </row>
    <row r="30" spans="1:11">
      <c r="A30" s="11" t="s">
        <v>31</v>
      </c>
      <c r="D30" s="11"/>
      <c r="E30" s="11" t="s">
        <v>594</v>
      </c>
    </row>
    <row r="31" spans="1:11">
      <c r="A31" s="11" t="s">
        <v>80</v>
      </c>
    </row>
  </sheetData>
  <phoneticPr fontId="5" type="noConversion"/>
  <printOptions horizontalCentered="1"/>
  <pageMargins left="0.75" right="0.75" top="1" bottom="1" header="0.5" footer="0.5"/>
  <pageSetup orientation="landscape" r:id="rId1"/>
  <headerFooter alignWithMargins="0">
    <oddFooter>&amp;L&amp;F</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4"/>
  <dimension ref="A1:T86"/>
  <sheetViews>
    <sheetView zoomScale="70" zoomScaleNormal="70" workbookViewId="0"/>
  </sheetViews>
  <sheetFormatPr baseColWidth="10" defaultColWidth="9.1640625" defaultRowHeight="13"/>
  <cols>
    <col min="1" max="1" width="42.5" style="4" customWidth="1"/>
    <col min="2" max="2" width="8.83203125" style="28" customWidth="1"/>
    <col min="3" max="3" width="3.5" style="28" customWidth="1"/>
    <col min="4" max="4" width="10.5" style="4" customWidth="1"/>
    <col min="5" max="5" width="3.5" style="4" customWidth="1"/>
    <col min="6" max="6" width="9.83203125" style="4" customWidth="1"/>
    <col min="7" max="7" width="3.5" style="4" customWidth="1"/>
    <col min="8" max="8" width="10.5" style="4" customWidth="1"/>
    <col min="9" max="9" width="3.5" style="4" customWidth="1"/>
    <col min="10" max="10" width="10.5" style="4" customWidth="1"/>
    <col min="11" max="11" width="3.5" style="4" customWidth="1"/>
    <col min="12" max="12" width="11.5" style="4" customWidth="1"/>
    <col min="13" max="13" width="3.5" style="4" customWidth="1"/>
    <col min="14" max="14" width="8.5" style="4" customWidth="1"/>
    <col min="15" max="15" width="3.5" style="4" customWidth="1"/>
    <col min="16" max="16" width="14.5" style="4" customWidth="1"/>
    <col min="17" max="17" width="10.5" style="4" bestFit="1" customWidth="1"/>
    <col min="18" max="18" width="12" style="4" customWidth="1"/>
    <col min="19" max="16384" width="9.1640625" style="4"/>
  </cols>
  <sheetData>
    <row r="1" spans="1:18" ht="16">
      <c r="A1" s="117" t="s">
        <v>547</v>
      </c>
    </row>
    <row r="2" spans="1:18" ht="16">
      <c r="A2" s="117" t="s">
        <v>780</v>
      </c>
    </row>
    <row r="3" spans="1:18" ht="5" customHeight="1">
      <c r="A3" s="346"/>
    </row>
    <row r="4" spans="1:18" ht="16">
      <c r="A4" s="117" t="s">
        <v>739</v>
      </c>
      <c r="B4" s="35"/>
      <c r="C4" s="35"/>
    </row>
    <row r="5" spans="1:18" ht="28">
      <c r="A5" s="14" t="s">
        <v>334</v>
      </c>
      <c r="B5" s="132" t="s">
        <v>204</v>
      </c>
      <c r="C5" s="132"/>
      <c r="D5" s="119" t="s">
        <v>240</v>
      </c>
      <c r="E5" s="119"/>
      <c r="F5" s="132" t="s">
        <v>203</v>
      </c>
      <c r="G5" s="132"/>
      <c r="H5" s="132" t="s">
        <v>104</v>
      </c>
      <c r="I5" s="132"/>
      <c r="J5" s="133" t="s">
        <v>92</v>
      </c>
      <c r="K5" s="133"/>
      <c r="L5" s="119" t="s">
        <v>135</v>
      </c>
      <c r="M5" s="20"/>
      <c r="N5" s="207" t="s">
        <v>134</v>
      </c>
      <c r="O5" s="133"/>
      <c r="P5" s="119" t="s">
        <v>216</v>
      </c>
    </row>
    <row r="6" spans="1:18">
      <c r="A6" s="66" t="s">
        <v>740</v>
      </c>
      <c r="B6" s="63">
        <v>0</v>
      </c>
      <c r="C6" s="206" t="s">
        <v>233</v>
      </c>
      <c r="D6" s="39">
        <v>2.2330748813648089</v>
      </c>
      <c r="E6" s="39"/>
      <c r="F6" s="63">
        <f>B6*D6</f>
        <v>0</v>
      </c>
      <c r="G6" s="63"/>
      <c r="H6" s="24">
        <f>'Table 3.38-Form 3547 Dist'!H8</f>
        <v>21321.175172796822</v>
      </c>
      <c r="I6" s="208" t="s">
        <v>236</v>
      </c>
      <c r="J6" s="40">
        <f>H6/$H$6</f>
        <v>1</v>
      </c>
      <c r="K6" s="40"/>
      <c r="L6" s="63">
        <f>J6*F6</f>
        <v>0</v>
      </c>
      <c r="M6" s="20"/>
      <c r="N6" s="20"/>
      <c r="O6" s="20"/>
      <c r="P6" s="20"/>
    </row>
    <row r="7" spans="1:18">
      <c r="A7" s="18" t="s">
        <v>137</v>
      </c>
      <c r="B7" s="63">
        <f>'Table 3.40-Form Processing'!B5</f>
        <v>6.1706247059905163E-2</v>
      </c>
      <c r="C7" s="206" t="s">
        <v>234</v>
      </c>
      <c r="D7" s="39">
        <v>1.7055951497654467</v>
      </c>
      <c r="E7" s="39"/>
      <c r="F7" s="63">
        <f>B7*D7</f>
        <v>0.10524587569560261</v>
      </c>
      <c r="G7" s="63"/>
      <c r="H7" s="24">
        <f>H6</f>
        <v>21321.175172796822</v>
      </c>
      <c r="I7" s="208" t="s">
        <v>237</v>
      </c>
      <c r="J7" s="40">
        <f>H7/$H$6</f>
        <v>1</v>
      </c>
      <c r="K7" s="206"/>
      <c r="L7" s="63">
        <f>J7*F7</f>
        <v>0.10524587569560261</v>
      </c>
      <c r="M7" s="20"/>
      <c r="N7" s="20"/>
      <c r="O7" s="20"/>
      <c r="P7" s="20"/>
      <c r="R7" s="48"/>
    </row>
    <row r="8" spans="1:18">
      <c r="A8" s="18" t="s">
        <v>138</v>
      </c>
      <c r="B8" s="63">
        <v>0.23110812223007593</v>
      </c>
      <c r="C8" s="206" t="s">
        <v>235</v>
      </c>
      <c r="D8" s="39">
        <v>3.5156084078143586</v>
      </c>
      <c r="E8" s="39"/>
      <c r="F8" s="63">
        <f>B8*D8</f>
        <v>0.81248565762624336</v>
      </c>
      <c r="G8" s="63"/>
      <c r="H8" s="24">
        <f>H7</f>
        <v>21321.175172796822</v>
      </c>
      <c r="I8" s="208"/>
      <c r="J8" s="40">
        <f>H8/$H$6</f>
        <v>1</v>
      </c>
      <c r="K8" s="40"/>
      <c r="L8" s="63">
        <f>J8*F8</f>
        <v>0.81248565762624336</v>
      </c>
      <c r="M8" s="20"/>
      <c r="N8" s="20"/>
      <c r="O8" s="20"/>
      <c r="P8" s="20"/>
    </row>
    <row r="9" spans="1:18">
      <c r="A9" s="18" t="s">
        <v>139</v>
      </c>
      <c r="B9" s="63">
        <v>2.4236494314141935E-2</v>
      </c>
      <c r="C9" s="206" t="s">
        <v>235</v>
      </c>
      <c r="D9" s="39">
        <v>1.2964363113082193</v>
      </c>
      <c r="E9" s="39"/>
      <c r="F9" s="63">
        <f>B9*D9</f>
        <v>3.14210712876688E-2</v>
      </c>
      <c r="G9" s="63"/>
      <c r="H9" s="24">
        <f>H8</f>
        <v>21321.175172796822</v>
      </c>
      <c r="I9" s="208"/>
      <c r="J9" s="40">
        <f>H9/$H$6</f>
        <v>1</v>
      </c>
      <c r="K9" s="40"/>
      <c r="L9" s="63">
        <f>J9*F9</f>
        <v>3.14210712876688E-2</v>
      </c>
      <c r="M9" s="20"/>
      <c r="N9" s="20"/>
      <c r="O9" s="20"/>
      <c r="P9" s="20"/>
    </row>
    <row r="10" spans="1:18">
      <c r="A10" s="17" t="s">
        <v>141</v>
      </c>
      <c r="B10" s="61"/>
      <c r="C10" s="61"/>
      <c r="D10" s="20"/>
      <c r="E10" s="20"/>
      <c r="F10" s="61"/>
      <c r="G10" s="61"/>
      <c r="H10" s="137"/>
      <c r="I10" s="61"/>
      <c r="J10" s="40"/>
      <c r="K10" s="40"/>
      <c r="L10" s="63">
        <f>SUM(L6:L9)</f>
        <v>0.94915260460951478</v>
      </c>
      <c r="M10" s="20"/>
      <c r="N10" s="56">
        <f>'Table 3.38-Form 3547 Dist'!I8</f>
        <v>0.7133559665496122</v>
      </c>
      <c r="O10" s="208" t="s">
        <v>236</v>
      </c>
      <c r="P10" s="63">
        <f>N10*L10</f>
        <v>0.67708367366430233</v>
      </c>
      <c r="Q10" s="24"/>
    </row>
    <row r="11" spans="1:18">
      <c r="B11" s="63"/>
      <c r="C11" s="63"/>
      <c r="D11" s="20"/>
      <c r="E11" s="20"/>
      <c r="F11" s="63"/>
      <c r="G11" s="63"/>
      <c r="H11" s="64"/>
      <c r="I11" s="63"/>
      <c r="J11" s="20"/>
      <c r="K11" s="20"/>
      <c r="L11" s="20"/>
      <c r="M11" s="20"/>
      <c r="N11" s="56"/>
      <c r="O11" s="56"/>
      <c r="P11" s="20"/>
    </row>
    <row r="12" spans="1:18">
      <c r="A12" s="14" t="s">
        <v>335</v>
      </c>
      <c r="B12" s="63"/>
      <c r="C12" s="63"/>
      <c r="D12" s="20"/>
      <c r="E12" s="20"/>
      <c r="F12" s="63"/>
      <c r="G12" s="63"/>
      <c r="H12" s="64"/>
      <c r="I12" s="63"/>
      <c r="J12" s="20"/>
      <c r="K12" s="20"/>
      <c r="L12" s="20"/>
      <c r="M12" s="20"/>
      <c r="N12" s="20"/>
      <c r="O12" s="20"/>
      <c r="P12" s="20"/>
    </row>
    <row r="13" spans="1:18">
      <c r="A13" s="66" t="s">
        <v>740</v>
      </c>
      <c r="B13" s="63">
        <v>0</v>
      </c>
      <c r="C13" s="206" t="s">
        <v>233</v>
      </c>
      <c r="D13" s="39">
        <v>2.2330748813648089</v>
      </c>
      <c r="E13" s="39"/>
      <c r="F13" s="63">
        <f>B13*D13</f>
        <v>0</v>
      </c>
      <c r="G13" s="63"/>
      <c r="H13" s="24">
        <f>'Table 3.38-Form 3547 Dist'!H9</f>
        <v>1674.4193052108235</v>
      </c>
      <c r="I13" s="208" t="s">
        <v>236</v>
      </c>
      <c r="J13" s="40">
        <f>H13/$H$13</f>
        <v>1</v>
      </c>
      <c r="K13" s="40"/>
      <c r="L13" s="63">
        <f>J13*F13</f>
        <v>0</v>
      </c>
      <c r="M13" s="20"/>
      <c r="N13" s="20"/>
      <c r="O13" s="20"/>
      <c r="P13" s="20"/>
    </row>
    <row r="14" spans="1:18">
      <c r="A14" s="18" t="s">
        <v>137</v>
      </c>
      <c r="B14" s="63">
        <f>'Table 3.40-Form Processing'!B5</f>
        <v>6.1706247059905163E-2</v>
      </c>
      <c r="C14" s="206" t="s">
        <v>234</v>
      </c>
      <c r="D14" s="39">
        <v>1.7055951497654467</v>
      </c>
      <c r="E14" s="39"/>
      <c r="F14" s="63">
        <f>B14*D14</f>
        <v>0.10524587569560261</v>
      </c>
      <c r="G14" s="63"/>
      <c r="H14" s="24">
        <f>H13</f>
        <v>1674.4193052108235</v>
      </c>
      <c r="I14" s="208" t="s">
        <v>237</v>
      </c>
      <c r="J14" s="40">
        <f>H14/$H$13</f>
        <v>1</v>
      </c>
      <c r="K14" s="206"/>
      <c r="L14" s="63">
        <f>J14*F14</f>
        <v>0.10524587569560261</v>
      </c>
      <c r="M14" s="20"/>
      <c r="N14" s="20"/>
      <c r="O14" s="20"/>
      <c r="P14" s="20"/>
      <c r="R14" s="48"/>
    </row>
    <row r="15" spans="1:18" ht="12.75" customHeight="1">
      <c r="A15" s="18" t="s">
        <v>138</v>
      </c>
      <c r="B15" s="63">
        <v>0.23110812223007593</v>
      </c>
      <c r="C15" s="206" t="s">
        <v>235</v>
      </c>
      <c r="D15" s="39">
        <v>3.5156084078143586</v>
      </c>
      <c r="E15" s="39"/>
      <c r="F15" s="63">
        <f>B15*D15</f>
        <v>0.81248565762624336</v>
      </c>
      <c r="G15" s="63"/>
      <c r="H15" s="24">
        <f>H14</f>
        <v>1674.4193052108235</v>
      </c>
      <c r="I15" s="208"/>
      <c r="J15" s="40">
        <f>H15/$H$13</f>
        <v>1</v>
      </c>
      <c r="K15" s="40"/>
      <c r="L15" s="63">
        <f>J15*F15</f>
        <v>0.81248565762624336</v>
      </c>
      <c r="M15" s="20"/>
      <c r="N15" s="20"/>
      <c r="O15" s="20"/>
      <c r="P15" s="20"/>
    </row>
    <row r="16" spans="1:18">
      <c r="A16" s="18" t="s">
        <v>139</v>
      </c>
      <c r="B16" s="63">
        <v>2.4236494314141935E-2</v>
      </c>
      <c r="C16" s="206" t="s">
        <v>235</v>
      </c>
      <c r="D16" s="39">
        <v>1.2964363113082193</v>
      </c>
      <c r="E16" s="39"/>
      <c r="F16" s="63">
        <f>B16*D16</f>
        <v>3.14210712876688E-2</v>
      </c>
      <c r="G16" s="63"/>
      <c r="H16" s="24">
        <f>H15</f>
        <v>1674.4193052108235</v>
      </c>
      <c r="I16" s="208"/>
      <c r="J16" s="40">
        <f>H16/$H$13</f>
        <v>1</v>
      </c>
      <c r="K16" s="40"/>
      <c r="L16" s="63">
        <f>J16*F16</f>
        <v>3.14210712876688E-2</v>
      </c>
      <c r="M16" s="20"/>
      <c r="N16" s="20"/>
      <c r="O16" s="20"/>
      <c r="P16" s="20"/>
    </row>
    <row r="17" spans="1:18">
      <c r="A17" s="2" t="s">
        <v>140</v>
      </c>
      <c r="B17" s="61"/>
      <c r="C17" s="61"/>
      <c r="D17" s="20"/>
      <c r="E17" s="20"/>
      <c r="F17" s="61"/>
      <c r="G17" s="61"/>
      <c r="H17" s="137"/>
      <c r="I17" s="61"/>
      <c r="J17" s="20"/>
      <c r="K17" s="20"/>
      <c r="L17" s="63">
        <f>SUM(L13:L16)</f>
        <v>0.94915260460951478</v>
      </c>
      <c r="M17" s="20"/>
      <c r="N17" s="56">
        <f>'Table 3.38-Form 3547 Dist'!I9</f>
        <v>5.6022099729379653E-2</v>
      </c>
      <c r="O17" s="208" t="s">
        <v>236</v>
      </c>
      <c r="P17" s="63">
        <f>N17*L17</f>
        <v>5.3173521873834693E-2</v>
      </c>
      <c r="Q17" s="24"/>
    </row>
    <row r="18" spans="1:18">
      <c r="A18" s="2"/>
      <c r="B18" s="61"/>
      <c r="C18" s="61"/>
      <c r="D18" s="20"/>
      <c r="E18" s="20"/>
      <c r="F18" s="61"/>
      <c r="G18" s="61"/>
      <c r="H18" s="137"/>
      <c r="I18" s="61"/>
      <c r="J18" s="20"/>
      <c r="K18" s="20"/>
      <c r="L18" s="63"/>
      <c r="M18" s="20"/>
      <c r="N18" s="56"/>
      <c r="O18" s="208"/>
      <c r="P18" s="63"/>
    </row>
    <row r="19" spans="1:18">
      <c r="A19" s="14" t="s">
        <v>336</v>
      </c>
      <c r="B19" s="61"/>
      <c r="C19" s="61"/>
      <c r="D19" s="20"/>
      <c r="E19" s="20"/>
      <c r="F19" s="63">
        <v>0</v>
      </c>
      <c r="G19" s="61"/>
      <c r="H19" s="7">
        <f>'Table 3.38-Form 3547 Dist'!H7</f>
        <v>6892.955099735299</v>
      </c>
      <c r="I19" s="208" t="s">
        <v>236</v>
      </c>
      <c r="J19" s="40">
        <f>H19/$H$19</f>
        <v>1</v>
      </c>
      <c r="K19" s="20"/>
      <c r="L19" s="63">
        <v>0</v>
      </c>
      <c r="M19" s="20"/>
      <c r="N19" s="56">
        <f>'Table 3.38-Form 3547 Dist'!I7</f>
        <v>0.23062193372100812</v>
      </c>
      <c r="O19" s="208" t="s">
        <v>236</v>
      </c>
      <c r="P19" s="63">
        <f>N19*L19</f>
        <v>0</v>
      </c>
      <c r="Q19" s="64"/>
    </row>
    <row r="20" spans="1:18">
      <c r="A20" s="20"/>
      <c r="B20" s="63"/>
      <c r="C20" s="63"/>
      <c r="D20" s="20"/>
      <c r="E20" s="20"/>
      <c r="F20" s="63"/>
      <c r="G20" s="63"/>
      <c r="H20" s="63"/>
      <c r="I20" s="63"/>
      <c r="J20" s="134"/>
      <c r="K20" s="134"/>
      <c r="L20" s="20"/>
      <c r="M20" s="20"/>
      <c r="N20" s="20"/>
      <c r="O20" s="20"/>
      <c r="P20" s="20"/>
    </row>
    <row r="21" spans="1:18">
      <c r="B21" s="63"/>
      <c r="C21" s="63"/>
      <c r="D21" s="20"/>
      <c r="E21" s="20"/>
      <c r="F21" s="63"/>
      <c r="G21" s="63"/>
      <c r="H21" s="63"/>
      <c r="I21" s="63"/>
      <c r="J21" s="20"/>
      <c r="K21" s="20"/>
      <c r="L21" s="20"/>
      <c r="M21" s="20"/>
      <c r="N21" s="20"/>
      <c r="O21" s="97" t="s">
        <v>446</v>
      </c>
      <c r="P21" s="311">
        <f>P17+P10+P19</f>
        <v>0.73025719553813706</v>
      </c>
      <c r="Q21" s="48"/>
      <c r="R21" s="48"/>
    </row>
    <row r="22" spans="1:18">
      <c r="A22" s="14"/>
      <c r="B22" s="63"/>
      <c r="C22" s="63"/>
      <c r="D22" s="20"/>
      <c r="E22" s="20"/>
      <c r="F22" s="63"/>
      <c r="G22" s="63"/>
      <c r="H22" s="63"/>
      <c r="I22" s="63"/>
      <c r="J22" s="20"/>
      <c r="K22" s="20"/>
      <c r="L22" s="20"/>
      <c r="M22" s="20"/>
      <c r="N22" s="20"/>
      <c r="O22" s="20"/>
      <c r="P22" s="63"/>
      <c r="Q22" s="48"/>
    </row>
    <row r="23" spans="1:18" ht="16">
      <c r="A23" s="117" t="s">
        <v>752</v>
      </c>
      <c r="B23" s="63"/>
      <c r="C23" s="63"/>
      <c r="D23" s="20"/>
      <c r="E23" s="20"/>
      <c r="F23" s="63"/>
      <c r="G23" s="63"/>
      <c r="H23" s="63"/>
      <c r="I23" s="63"/>
      <c r="J23" s="20"/>
      <c r="K23" s="20"/>
      <c r="L23" s="20"/>
      <c r="M23" s="20"/>
      <c r="N23" s="20"/>
      <c r="O23" s="20"/>
      <c r="P23" s="63"/>
      <c r="Q23" s="48"/>
    </row>
    <row r="24" spans="1:18" ht="16">
      <c r="A24" s="117" t="s">
        <v>780</v>
      </c>
      <c r="B24" s="63"/>
      <c r="C24" s="63"/>
      <c r="D24" s="20"/>
      <c r="E24" s="20"/>
      <c r="F24" s="63"/>
      <c r="I24" s="63"/>
      <c r="J24" s="20"/>
      <c r="K24" s="20"/>
      <c r="L24" s="20"/>
      <c r="M24" s="20"/>
      <c r="N24" s="20"/>
      <c r="O24" s="20"/>
      <c r="P24" s="63"/>
      <c r="Q24" s="48"/>
    </row>
    <row r="25" spans="1:18" ht="5" customHeight="1">
      <c r="A25" s="14"/>
      <c r="B25" s="63"/>
      <c r="C25" s="63"/>
      <c r="D25" s="20"/>
      <c r="E25" s="20"/>
      <c r="F25" s="63"/>
      <c r="G25" s="63"/>
      <c r="H25" s="63"/>
      <c r="I25" s="63"/>
      <c r="J25" s="20"/>
      <c r="K25" s="20"/>
      <c r="L25" s="20"/>
      <c r="M25" s="20"/>
      <c r="N25" s="20"/>
      <c r="O25" s="20"/>
      <c r="P25" s="63"/>
      <c r="Q25" s="48"/>
    </row>
    <row r="26" spans="1:18" ht="16">
      <c r="A26" s="117" t="s">
        <v>741</v>
      </c>
      <c r="B26" s="35"/>
      <c r="C26" s="35"/>
      <c r="Q26" s="48"/>
    </row>
    <row r="27" spans="1:18" ht="28">
      <c r="A27" s="14" t="s">
        <v>334</v>
      </c>
      <c r="B27" s="132" t="s">
        <v>204</v>
      </c>
      <c r="C27" s="132"/>
      <c r="D27" s="119" t="s">
        <v>240</v>
      </c>
      <c r="E27" s="119"/>
      <c r="F27" s="132" t="s">
        <v>203</v>
      </c>
      <c r="G27" s="132"/>
      <c r="H27" s="132" t="s">
        <v>104</v>
      </c>
      <c r="I27" s="132"/>
      <c r="J27" s="133" t="s">
        <v>92</v>
      </c>
      <c r="K27" s="133"/>
      <c r="L27" s="119" t="s">
        <v>135</v>
      </c>
      <c r="M27" s="20"/>
      <c r="N27" s="207" t="s">
        <v>134</v>
      </c>
      <c r="O27" s="133"/>
      <c r="P27" s="119" t="s">
        <v>216</v>
      </c>
      <c r="Q27" s="48"/>
    </row>
    <row r="28" spans="1:18">
      <c r="A28" s="66" t="s">
        <v>136</v>
      </c>
      <c r="B28" s="63">
        <v>0.11369457336804024</v>
      </c>
      <c r="C28" s="206" t="s">
        <v>238</v>
      </c>
      <c r="D28" s="39">
        <v>1.7055951497654467</v>
      </c>
      <c r="E28" s="39"/>
      <c r="F28" s="63">
        <f>B28*D28</f>
        <v>0.19391691289118115</v>
      </c>
      <c r="G28" s="63"/>
      <c r="H28" s="24">
        <f>'Table 3.38-Form 3547 Dist'!B17</f>
        <v>8237.0428188496753</v>
      </c>
      <c r="I28" s="208" t="s">
        <v>236</v>
      </c>
      <c r="J28" s="40">
        <f>H28/SUM($H$28:$H$29)</f>
        <v>0.91663275255374144</v>
      </c>
      <c r="K28" s="40"/>
      <c r="L28" s="63">
        <f>J28*F28</f>
        <v>0.17775059363016749</v>
      </c>
      <c r="M28" s="20"/>
      <c r="N28" s="20"/>
      <c r="O28" s="20"/>
      <c r="P28" s="20"/>
      <c r="Q28" s="48"/>
      <c r="R28" s="48"/>
    </row>
    <row r="29" spans="1:18">
      <c r="A29" s="18" t="s">
        <v>742</v>
      </c>
      <c r="B29" s="63">
        <v>0.14819647297617985</v>
      </c>
      <c r="C29" s="208" t="s">
        <v>239</v>
      </c>
      <c r="D29" s="39">
        <v>1.4559921991063358</v>
      </c>
      <c r="E29" s="39"/>
      <c r="F29" s="63">
        <f>B29*D29</f>
        <v>0.21577290858839077</v>
      </c>
      <c r="G29" s="63"/>
      <c r="H29" s="24">
        <f>'Table 3.38-Form 3547 Dist'!E17</f>
        <v>749.15453870846397</v>
      </c>
      <c r="I29" s="208" t="s">
        <v>236</v>
      </c>
      <c r="J29" s="40">
        <f>H29/SUM($H$28:$H$29)</f>
        <v>8.3367247446258536E-2</v>
      </c>
      <c r="K29" s="40"/>
      <c r="L29" s="63">
        <f>J29*F29</f>
        <v>1.7988393462487297E-2</v>
      </c>
      <c r="M29" s="20"/>
      <c r="N29" s="20"/>
      <c r="O29" s="20"/>
      <c r="P29" s="20"/>
      <c r="Q29" s="48"/>
      <c r="R29" s="48"/>
    </row>
    <row r="30" spans="1:18">
      <c r="A30" s="66" t="s">
        <v>743</v>
      </c>
      <c r="B30" s="63">
        <f>'Table 3.40-Form Processing'!B4</f>
        <v>9.5037325126582903E-2</v>
      </c>
      <c r="C30" s="206" t="s">
        <v>234</v>
      </c>
      <c r="D30" s="39">
        <v>1.7055951497654467</v>
      </c>
      <c r="E30" s="39"/>
      <c r="F30" s="63">
        <f>B30*D30</f>
        <v>0.16209520078258161</v>
      </c>
      <c r="G30" s="63"/>
      <c r="H30" s="24">
        <f>SUM(H28:H29)/'Table 3.40-Form Processing'!$D$4</f>
        <v>8673.8696452601489</v>
      </c>
      <c r="I30" s="208" t="s">
        <v>575</v>
      </c>
      <c r="J30" s="40">
        <f>'Table 3.40-Form Processing'!D4^-1</f>
        <v>0.96524361753135812</v>
      </c>
      <c r="K30" s="206" t="s">
        <v>234</v>
      </c>
      <c r="L30" s="63">
        <f>J30*F30</f>
        <v>0.15646135798785091</v>
      </c>
      <c r="M30" s="20"/>
      <c r="N30" s="20"/>
      <c r="O30" s="20"/>
      <c r="P30" s="20"/>
      <c r="Q30" s="413"/>
      <c r="R30" s="48"/>
    </row>
    <row r="31" spans="1:18">
      <c r="A31" s="66" t="s">
        <v>744</v>
      </c>
      <c r="B31" s="63">
        <v>0.4642516176680902</v>
      </c>
      <c r="C31" s="206" t="s">
        <v>235</v>
      </c>
      <c r="D31" s="39">
        <v>3.5156084078143586</v>
      </c>
      <c r="E31" s="39"/>
      <c r="F31" s="63">
        <f>B31*D31</f>
        <v>1.632126890415355</v>
      </c>
      <c r="G31" s="63"/>
      <c r="H31" s="24">
        <f>H30</f>
        <v>8673.8696452601489</v>
      </c>
      <c r="I31" s="208"/>
      <c r="J31" s="40">
        <f>J30</f>
        <v>0.96524361753135812</v>
      </c>
      <c r="K31" s="40"/>
      <c r="L31" s="63">
        <f>J31*F31</f>
        <v>1.5754000639747237</v>
      </c>
      <c r="M31" s="20"/>
      <c r="N31" s="20"/>
      <c r="O31" s="20"/>
      <c r="P31" s="20"/>
      <c r="Q31" s="48"/>
      <c r="R31" s="48"/>
    </row>
    <row r="32" spans="1:18">
      <c r="A32" s="66" t="s">
        <v>745</v>
      </c>
      <c r="B32" s="63">
        <v>2.4236494314141935E-2</v>
      </c>
      <c r="C32" s="206" t="s">
        <v>235</v>
      </c>
      <c r="D32" s="39">
        <v>1.2964363113082193</v>
      </c>
      <c r="E32" s="39"/>
      <c r="F32" s="63">
        <f>B32*D32</f>
        <v>3.14210712876688E-2</v>
      </c>
      <c r="G32" s="63"/>
      <c r="H32" s="24">
        <f>H31</f>
        <v>8673.8696452601489</v>
      </c>
      <c r="I32" s="208"/>
      <c r="J32" s="40">
        <f>J31</f>
        <v>0.96524361753135812</v>
      </c>
      <c r="K32" s="40"/>
      <c r="L32" s="63">
        <f>J32*F32</f>
        <v>3.0328988516420123E-2</v>
      </c>
      <c r="M32" s="20"/>
      <c r="N32" s="20"/>
      <c r="O32" s="20"/>
      <c r="P32" s="20"/>
      <c r="Q32" s="48"/>
      <c r="R32" s="48"/>
    </row>
    <row r="33" spans="1:20">
      <c r="A33" s="17" t="s">
        <v>141</v>
      </c>
      <c r="B33" s="61"/>
      <c r="C33" s="61"/>
      <c r="D33" s="20"/>
      <c r="E33" s="20"/>
      <c r="F33" s="61"/>
      <c r="G33" s="61"/>
      <c r="H33" s="61"/>
      <c r="I33" s="61"/>
      <c r="J33" s="40"/>
      <c r="K33" s="40"/>
      <c r="L33" s="63">
        <f>SUM(L28:L32)</f>
        <v>1.9579293975716494</v>
      </c>
      <c r="M33" s="20"/>
      <c r="N33" s="56">
        <f>'Table 3.38-Form 3547 Dist'!I17</f>
        <v>0.55300849431480259</v>
      </c>
      <c r="O33" s="208" t="s">
        <v>236</v>
      </c>
      <c r="P33" s="63">
        <f>N33*L33</f>
        <v>1.0827515881257863</v>
      </c>
      <c r="Q33" s="48"/>
    </row>
    <row r="34" spans="1:20">
      <c r="B34" s="63"/>
      <c r="C34" s="63"/>
      <c r="D34" s="20"/>
      <c r="E34" s="20"/>
      <c r="F34" s="63"/>
      <c r="G34" s="63"/>
      <c r="H34" s="63"/>
      <c r="I34" s="63"/>
      <c r="J34" s="20"/>
      <c r="K34" s="20"/>
      <c r="L34" s="20"/>
      <c r="M34" s="20"/>
      <c r="N34" s="56"/>
      <c r="O34" s="56"/>
      <c r="P34" s="20"/>
      <c r="Q34" s="48"/>
    </row>
    <row r="35" spans="1:20">
      <c r="A35" s="14" t="s">
        <v>335</v>
      </c>
      <c r="B35" s="63"/>
      <c r="C35" s="63"/>
      <c r="D35" s="20"/>
      <c r="E35" s="20"/>
      <c r="F35" s="63"/>
      <c r="G35" s="63"/>
      <c r="H35" s="63"/>
      <c r="I35" s="63"/>
      <c r="J35" s="20"/>
      <c r="K35" s="20"/>
      <c r="L35" s="20"/>
      <c r="M35" s="20"/>
      <c r="N35" s="20"/>
      <c r="O35" s="20"/>
      <c r="P35" s="20"/>
      <c r="Q35" s="48"/>
    </row>
    <row r="36" spans="1:20">
      <c r="A36" s="66" t="s">
        <v>136</v>
      </c>
      <c r="B36" s="63">
        <v>0.11369457336804024</v>
      </c>
      <c r="C36" s="206" t="s">
        <v>238</v>
      </c>
      <c r="D36" s="39">
        <v>1.7055951497654467</v>
      </c>
      <c r="E36" s="39"/>
      <c r="F36" s="63">
        <f>B36*D36</f>
        <v>0.19391691289118115</v>
      </c>
      <c r="G36" s="63"/>
      <c r="H36" s="24">
        <f>'Table 3.38-Form 3547 Dist'!B18</f>
        <v>4571.4925701633656</v>
      </c>
      <c r="I36" s="208" t="s">
        <v>236</v>
      </c>
      <c r="J36" s="40">
        <f>H36/SUM($H$36:$H$37)</f>
        <v>0.91663275255374155</v>
      </c>
      <c r="K36" s="40"/>
      <c r="L36" s="63">
        <f>J36*F36</f>
        <v>0.17775059363016751</v>
      </c>
      <c r="M36" s="20"/>
      <c r="N36" s="20"/>
      <c r="O36" s="20"/>
      <c r="P36" s="20"/>
      <c r="Q36" s="48"/>
      <c r="R36" s="48"/>
    </row>
    <row r="37" spans="1:20">
      <c r="A37" s="18" t="s">
        <v>742</v>
      </c>
      <c r="B37" s="63">
        <v>0.14819647297617985</v>
      </c>
      <c r="C37" s="208" t="s">
        <v>239</v>
      </c>
      <c r="D37" s="39">
        <v>1.4559921991063358</v>
      </c>
      <c r="E37" s="39"/>
      <c r="F37" s="63">
        <f>B37*D37</f>
        <v>0.21577290858839077</v>
      </c>
      <c r="G37" s="63"/>
      <c r="H37" s="24">
        <f>'Table 3.38-Form 3547 Dist'!E18</f>
        <v>415.77474864798415</v>
      </c>
      <c r="I37" s="208" t="s">
        <v>236</v>
      </c>
      <c r="J37" s="40">
        <f>H37/SUM($H$36:$H$37)</f>
        <v>8.3367247446258536E-2</v>
      </c>
      <c r="K37" s="40"/>
      <c r="L37" s="63">
        <f>J37*F37</f>
        <v>1.7988393462487297E-2</v>
      </c>
      <c r="M37" s="20"/>
      <c r="N37" s="20"/>
      <c r="O37" s="20"/>
      <c r="P37" s="20"/>
      <c r="Q37" s="48"/>
      <c r="R37" s="48"/>
    </row>
    <row r="38" spans="1:20">
      <c r="A38" s="66" t="s">
        <v>743</v>
      </c>
      <c r="B38" s="63">
        <f>'Table 3.40-Form Processing'!B4</f>
        <v>9.5037325126582903E-2</v>
      </c>
      <c r="C38" s="206" t="s">
        <v>234</v>
      </c>
      <c r="D38" s="39">
        <v>1.7055951497654467</v>
      </c>
      <c r="E38" s="39"/>
      <c r="F38" s="63">
        <f>B38*D38</f>
        <v>0.16209520078258161</v>
      </c>
      <c r="G38" s="63"/>
      <c r="H38" s="24">
        <f>SUM(H36:H37)/'Table 3.40-Form Processing'!$D$4</f>
        <v>4813.9279484053841</v>
      </c>
      <c r="I38" s="208" t="s">
        <v>575</v>
      </c>
      <c r="J38" s="40">
        <f>'Table 3.40-Form Processing'!D4^-1</f>
        <v>0.96524361753135812</v>
      </c>
      <c r="K38" s="206" t="s">
        <v>234</v>
      </c>
      <c r="L38" s="63">
        <f>J38*F38</f>
        <v>0.15646135798785091</v>
      </c>
      <c r="M38" s="20"/>
      <c r="N38" s="20"/>
      <c r="O38" s="20"/>
      <c r="P38" s="20"/>
      <c r="Q38" s="413"/>
      <c r="R38" s="48"/>
    </row>
    <row r="39" spans="1:20">
      <c r="A39" s="66" t="s">
        <v>744</v>
      </c>
      <c r="B39" s="63">
        <v>0.4642516176680902</v>
      </c>
      <c r="C39" s="206" t="s">
        <v>235</v>
      </c>
      <c r="D39" s="39">
        <v>3.5156084078143586</v>
      </c>
      <c r="E39" s="39"/>
      <c r="F39" s="63">
        <f>B39*D39</f>
        <v>1.632126890415355</v>
      </c>
      <c r="G39" s="63"/>
      <c r="H39" s="24">
        <f>H38</f>
        <v>4813.9279484053841</v>
      </c>
      <c r="I39" s="63"/>
      <c r="J39" s="40">
        <f>J38</f>
        <v>0.96524361753135812</v>
      </c>
      <c r="K39" s="40"/>
      <c r="L39" s="63">
        <f>J39*F39</f>
        <v>1.5754000639747237</v>
      </c>
      <c r="M39" s="20"/>
      <c r="N39" s="20"/>
      <c r="O39" s="20"/>
      <c r="P39" s="20"/>
      <c r="Q39" s="48"/>
      <c r="R39" s="48"/>
    </row>
    <row r="40" spans="1:20">
      <c r="A40" s="66" t="s">
        <v>745</v>
      </c>
      <c r="B40" s="63">
        <v>2.4236494314141935E-2</v>
      </c>
      <c r="C40" s="206" t="s">
        <v>235</v>
      </c>
      <c r="D40" s="39">
        <v>1.2964363113082193</v>
      </c>
      <c r="E40" s="39"/>
      <c r="F40" s="63">
        <f>B40*D40</f>
        <v>3.14210712876688E-2</v>
      </c>
      <c r="G40" s="63"/>
      <c r="H40" s="24">
        <f>H39</f>
        <v>4813.9279484053841</v>
      </c>
      <c r="I40" s="63"/>
      <c r="J40" s="40">
        <f>J39</f>
        <v>0.96524361753135812</v>
      </c>
      <c r="K40" s="40"/>
      <c r="L40" s="63">
        <f>J40*F40</f>
        <v>3.0328988516420123E-2</v>
      </c>
      <c r="M40" s="20"/>
      <c r="N40" s="20"/>
      <c r="O40" s="20"/>
      <c r="P40" s="20"/>
      <c r="Q40" s="48"/>
      <c r="R40" s="48"/>
    </row>
    <row r="41" spans="1:20">
      <c r="A41" s="2" t="s">
        <v>140</v>
      </c>
      <c r="B41" s="61"/>
      <c r="C41" s="61"/>
      <c r="D41" s="20"/>
      <c r="E41" s="20"/>
      <c r="F41" s="61"/>
      <c r="G41" s="61"/>
      <c r="H41" s="61"/>
      <c r="I41" s="61"/>
      <c r="J41" s="20"/>
      <c r="K41" s="20"/>
      <c r="L41" s="63">
        <f>SUM(L36:L40)</f>
        <v>1.9579293975716494</v>
      </c>
      <c r="M41" s="20"/>
      <c r="N41" s="56">
        <f>'Table 3.38-Form 3547 Dist'!I18</f>
        <v>0.30691527027297905</v>
      </c>
      <c r="O41" s="208" t="s">
        <v>236</v>
      </c>
      <c r="P41" s="63">
        <f>N41*L41</f>
        <v>0.6009184302311138</v>
      </c>
      <c r="Q41" s="48"/>
    </row>
    <row r="42" spans="1:20">
      <c r="A42" s="2"/>
      <c r="B42" s="61"/>
      <c r="C42" s="61"/>
      <c r="D42" s="20"/>
      <c r="E42" s="20"/>
      <c r="F42" s="61"/>
      <c r="G42" s="61"/>
      <c r="H42" s="61"/>
      <c r="I42" s="61"/>
      <c r="J42" s="20"/>
      <c r="K42" s="20"/>
      <c r="L42" s="63"/>
      <c r="M42" s="20"/>
      <c r="N42" s="56"/>
      <c r="O42" s="208"/>
      <c r="P42" s="63"/>
    </row>
    <row r="43" spans="1:20">
      <c r="A43" s="14" t="s">
        <v>336</v>
      </c>
      <c r="B43" s="61"/>
      <c r="C43" s="61"/>
      <c r="D43" s="20"/>
      <c r="E43" s="20"/>
      <c r="F43" s="63">
        <v>0</v>
      </c>
      <c r="G43" s="61"/>
      <c r="H43" s="30">
        <f>'Table 3.38-Form 3547 Dist'!H16</f>
        <v>2276.1905277379292</v>
      </c>
      <c r="I43" s="208" t="s">
        <v>236</v>
      </c>
      <c r="J43" s="40">
        <f>H43/$H$43</f>
        <v>1</v>
      </c>
      <c r="K43" s="20"/>
      <c r="L43" s="63">
        <v>0</v>
      </c>
      <c r="M43" s="20"/>
      <c r="N43" s="56">
        <f>'Table 3.38-Form 3547 Dist'!I16</f>
        <v>0.14007623541221831</v>
      </c>
      <c r="O43" s="208" t="s">
        <v>236</v>
      </c>
      <c r="P43" s="63">
        <f>N43*L43</f>
        <v>0</v>
      </c>
    </row>
    <row r="44" spans="1:20">
      <c r="A44" s="20"/>
      <c r="B44" s="63"/>
      <c r="C44" s="63"/>
      <c r="D44" s="20"/>
      <c r="E44" s="20"/>
      <c r="F44" s="63"/>
      <c r="G44" s="63"/>
      <c r="H44" s="63"/>
      <c r="I44" s="63"/>
      <c r="J44" s="134"/>
      <c r="K44" s="134"/>
      <c r="L44" s="20"/>
      <c r="M44" s="20"/>
      <c r="N44" s="20"/>
      <c r="O44" s="20"/>
      <c r="P44" s="20"/>
    </row>
    <row r="45" spans="1:20">
      <c r="B45" s="63"/>
      <c r="C45" s="63"/>
      <c r="D45" s="20"/>
      <c r="E45" s="20"/>
      <c r="F45" s="63"/>
      <c r="G45" s="63"/>
      <c r="H45" s="63"/>
      <c r="I45" s="63"/>
      <c r="J45" s="20"/>
      <c r="K45" s="20"/>
      <c r="L45" s="20"/>
      <c r="M45" s="20"/>
      <c r="N45" s="20"/>
      <c r="O45" s="97" t="s">
        <v>746</v>
      </c>
      <c r="P45" s="311">
        <f>P41+P33+P43</f>
        <v>1.6836700183569002</v>
      </c>
    </row>
    <row r="46" spans="1:20">
      <c r="A46" s="18"/>
      <c r="B46" s="63"/>
      <c r="C46" s="206"/>
      <c r="D46" s="39"/>
      <c r="E46" s="39"/>
      <c r="F46" s="63"/>
      <c r="G46" s="63"/>
      <c r="H46" s="34"/>
      <c r="I46" s="63"/>
      <c r="J46" s="40"/>
      <c r="K46" s="40"/>
      <c r="L46" s="63"/>
      <c r="M46" s="20"/>
      <c r="N46" s="20"/>
      <c r="O46" s="20"/>
      <c r="P46" s="20"/>
    </row>
    <row r="47" spans="1:20" ht="16">
      <c r="A47" s="117" t="s">
        <v>82</v>
      </c>
      <c r="B47" s="63"/>
      <c r="C47" s="63"/>
      <c r="D47" s="20"/>
      <c r="E47" s="20"/>
      <c r="F47" s="63"/>
      <c r="G47" s="63"/>
      <c r="H47" s="63"/>
      <c r="I47" s="63"/>
      <c r="J47" s="20"/>
      <c r="K47" s="20"/>
      <c r="L47" s="20"/>
      <c r="M47" s="20"/>
      <c r="N47" s="20"/>
      <c r="O47" s="20"/>
      <c r="P47" s="63"/>
    </row>
    <row r="48" spans="1:20" ht="16">
      <c r="A48" s="117" t="s">
        <v>780</v>
      </c>
      <c r="B48" s="63"/>
      <c r="C48" s="63"/>
      <c r="D48" s="20"/>
      <c r="E48" s="20"/>
      <c r="F48" s="63"/>
      <c r="G48" s="63"/>
      <c r="H48" s="63"/>
      <c r="I48" s="63"/>
      <c r="J48" s="20"/>
      <c r="K48" s="20"/>
      <c r="L48" s="20"/>
      <c r="M48" s="20"/>
      <c r="N48" s="20"/>
      <c r="O48" s="20"/>
      <c r="P48" s="63"/>
      <c r="S48" s="63"/>
      <c r="T48" s="63"/>
    </row>
    <row r="49" spans="1:19" ht="5" customHeight="1">
      <c r="A49" s="14"/>
      <c r="B49" s="63"/>
      <c r="C49" s="63"/>
      <c r="D49" s="20"/>
      <c r="E49" s="20"/>
      <c r="F49" s="63"/>
      <c r="G49" s="63"/>
      <c r="H49" s="63"/>
      <c r="I49" s="63"/>
      <c r="J49" s="20"/>
      <c r="K49" s="20"/>
      <c r="L49" s="20"/>
      <c r="M49" s="20"/>
      <c r="N49" s="20"/>
      <c r="O49" s="20"/>
      <c r="P49" s="63"/>
    </row>
    <row r="50" spans="1:19" ht="16">
      <c r="A50" s="117" t="s">
        <v>449</v>
      </c>
      <c r="B50" s="35"/>
      <c r="C50" s="35"/>
    </row>
    <row r="51" spans="1:19" ht="28">
      <c r="A51" s="14" t="s">
        <v>334</v>
      </c>
      <c r="B51" s="132" t="s">
        <v>204</v>
      </c>
      <c r="C51" s="132"/>
      <c r="D51" s="119" t="s">
        <v>240</v>
      </c>
      <c r="E51" s="119"/>
      <c r="F51" s="132" t="s">
        <v>203</v>
      </c>
      <c r="G51" s="132"/>
      <c r="H51" s="132" t="s">
        <v>104</v>
      </c>
      <c r="I51" s="132"/>
      <c r="J51" s="133" t="s">
        <v>92</v>
      </c>
      <c r="K51" s="133"/>
      <c r="L51" s="119" t="s">
        <v>135</v>
      </c>
      <c r="M51" s="20"/>
      <c r="N51" s="207" t="s">
        <v>134</v>
      </c>
      <c r="O51" s="133"/>
      <c r="P51" s="119" t="s">
        <v>216</v>
      </c>
      <c r="S51" s="17"/>
    </row>
    <row r="52" spans="1:19">
      <c r="A52" s="66" t="s">
        <v>747</v>
      </c>
      <c r="B52" s="63">
        <f>(B6*H6+B28*H28)/H52</f>
        <v>3.1683475281495704E-2</v>
      </c>
      <c r="C52" s="206"/>
      <c r="D52" s="39"/>
      <c r="E52" s="39"/>
      <c r="F52" s="63">
        <f>(F6*H6+F28*H28)/H52</f>
        <v>5.4039181767832498E-2</v>
      </c>
      <c r="G52" s="63"/>
      <c r="H52" s="24">
        <f>SUM(H6,H28)</f>
        <v>29558.217991646496</v>
      </c>
      <c r="I52" s="208" t="s">
        <v>236</v>
      </c>
      <c r="J52" s="40">
        <f>H52/SUM($H$52:$H$53)</f>
        <v>0.97528144223132074</v>
      </c>
      <c r="K52" s="40"/>
      <c r="L52" s="63">
        <f>J52*F52</f>
        <v>5.2703411131532173E-2</v>
      </c>
      <c r="M52" s="20"/>
      <c r="N52" s="20"/>
      <c r="O52" s="20"/>
      <c r="P52" s="20"/>
    </row>
    <row r="53" spans="1:19">
      <c r="A53" s="18" t="s">
        <v>742</v>
      </c>
      <c r="B53" s="63">
        <f>B29</f>
        <v>0.14819647297617985</v>
      </c>
      <c r="C53" s="206"/>
      <c r="D53" s="39"/>
      <c r="E53" s="39"/>
      <c r="F53" s="63">
        <f>F29</f>
        <v>0.21577290858839077</v>
      </c>
      <c r="G53" s="63"/>
      <c r="H53" s="24">
        <f>H29</f>
        <v>749.15453870846397</v>
      </c>
      <c r="I53" s="208"/>
      <c r="J53" s="40">
        <f>H53/SUM($H$52:$H$53)</f>
        <v>2.4718557768679327E-2</v>
      </c>
      <c r="K53" s="40"/>
      <c r="L53" s="63">
        <f>J53*F53</f>
        <v>5.3335951058581009E-3</v>
      </c>
      <c r="M53" s="20"/>
      <c r="N53" s="20"/>
      <c r="O53" s="20"/>
      <c r="P53" s="20"/>
    </row>
    <row r="54" spans="1:19">
      <c r="A54" s="66" t="s">
        <v>743</v>
      </c>
      <c r="B54" s="63">
        <f>(B7*H7+B30*H30)/H54</f>
        <v>7.1344819965530853E-2</v>
      </c>
      <c r="C54" s="206"/>
      <c r="D54" s="39"/>
      <c r="E54" s="39"/>
      <c r="F54" s="63">
        <f>(F7*H7+F30*H30)/H54</f>
        <v>0.12168537889409843</v>
      </c>
      <c r="G54" s="63"/>
      <c r="H54" s="24">
        <f>SUM(H7,H30)</f>
        <v>29995.044818056973</v>
      </c>
      <c r="I54" s="208"/>
      <c r="J54" s="40">
        <f>H54/SUM($H$52:$H$53)</f>
        <v>0.98969466218210878</v>
      </c>
      <c r="K54" s="206"/>
      <c r="L54" s="63">
        <f>J54*F54</f>
        <v>0.12043136995709666</v>
      </c>
      <c r="M54" s="20"/>
      <c r="N54" s="20"/>
      <c r="O54" s="20"/>
      <c r="P54" s="20"/>
      <c r="R54" s="48"/>
      <c r="S54" s="206"/>
    </row>
    <row r="55" spans="1:19">
      <c r="A55" s="66" t="s">
        <v>744</v>
      </c>
      <c r="B55" s="63">
        <f>(B8*H8+B31*H31)/H55</f>
        <v>0.29852780105823506</v>
      </c>
      <c r="C55" s="206"/>
      <c r="D55" s="39"/>
      <c r="E55" s="39"/>
      <c r="F55" s="63">
        <f>(F8*H8+F31*H31)/H55</f>
        <v>1.0495068473666631</v>
      </c>
      <c r="G55" s="63"/>
      <c r="H55" s="24">
        <f>SUM(H8,H31)</f>
        <v>29995.044818056973</v>
      </c>
      <c r="I55" s="208"/>
      <c r="J55" s="40">
        <f>H55/SUM($H$52:$H$53)</f>
        <v>0.98969466218210878</v>
      </c>
      <c r="K55" s="40"/>
      <c r="L55" s="63">
        <f>J55*F55</f>
        <v>1.0386913247623597</v>
      </c>
      <c r="M55" s="20"/>
      <c r="N55" s="20"/>
      <c r="O55" s="20"/>
      <c r="P55" s="20"/>
      <c r="R55" s="48"/>
    </row>
    <row r="56" spans="1:19">
      <c r="A56" s="66" t="s">
        <v>745</v>
      </c>
      <c r="B56" s="63">
        <f>(B9*H9+B32*H32)/H56</f>
        <v>2.4236494314141935E-2</v>
      </c>
      <c r="C56" s="206"/>
      <c r="D56" s="39"/>
      <c r="E56" s="39"/>
      <c r="F56" s="63">
        <f>(F9*H9+F32*H32)/H56</f>
        <v>3.14210712876688E-2</v>
      </c>
      <c r="G56" s="63"/>
      <c r="H56" s="24">
        <f>SUM(H9,H32)</f>
        <v>29995.044818056973</v>
      </c>
      <c r="I56" s="208"/>
      <c r="J56" s="40">
        <f>H56/SUM($H$52:$H$53)</f>
        <v>0.98969466218210878</v>
      </c>
      <c r="K56" s="40"/>
      <c r="L56" s="63">
        <f>J56*F56</f>
        <v>3.1097266533449332E-2</v>
      </c>
      <c r="M56" s="20"/>
      <c r="N56" s="20"/>
      <c r="O56" s="20"/>
      <c r="P56" s="20"/>
      <c r="R56" s="48"/>
      <c r="S56" s="17"/>
    </row>
    <row r="57" spans="1:19">
      <c r="A57" s="17" t="s">
        <v>141</v>
      </c>
      <c r="B57" s="61"/>
      <c r="C57" s="61"/>
      <c r="D57" s="20"/>
      <c r="E57" s="20"/>
      <c r="F57" s="61"/>
      <c r="G57" s="61"/>
      <c r="H57" s="61"/>
      <c r="I57" s="61"/>
      <c r="J57" s="40"/>
      <c r="K57" s="40"/>
      <c r="L57" s="63">
        <f>SUM(L52:L56)</f>
        <v>1.2482569674902959</v>
      </c>
      <c r="M57" s="20"/>
      <c r="N57" s="56">
        <f>'Table 3.38-Form 3547 Dist'!I26</f>
        <v>0.65688235321798083</v>
      </c>
      <c r="O57" s="208" t="s">
        <v>236</v>
      </c>
      <c r="P57" s="63">
        <f>N57*L57</f>
        <v>0.81995797422576622</v>
      </c>
    </row>
    <row r="58" spans="1:19">
      <c r="B58" s="63"/>
      <c r="C58" s="63"/>
      <c r="D58" s="20"/>
      <c r="E58" s="20"/>
      <c r="F58" s="63"/>
      <c r="G58" s="63"/>
      <c r="H58" s="63"/>
      <c r="I58" s="63"/>
      <c r="J58" s="40"/>
      <c r="K58" s="20"/>
      <c r="L58" s="20"/>
      <c r="M58" s="20"/>
      <c r="N58" s="56"/>
      <c r="O58" s="56"/>
      <c r="P58" s="20"/>
    </row>
    <row r="59" spans="1:19">
      <c r="A59" s="14" t="s">
        <v>335</v>
      </c>
      <c r="B59" s="63"/>
      <c r="C59" s="63"/>
      <c r="D59" s="20"/>
      <c r="E59" s="20"/>
      <c r="F59" s="63"/>
      <c r="G59" s="63"/>
      <c r="H59" s="63"/>
      <c r="I59" s="63"/>
      <c r="J59" s="40"/>
      <c r="K59" s="20"/>
      <c r="L59" s="20"/>
      <c r="M59" s="20"/>
      <c r="N59" s="20"/>
      <c r="O59" s="20"/>
      <c r="P59" s="20"/>
    </row>
    <row r="60" spans="1:19">
      <c r="A60" s="66" t="s">
        <v>747</v>
      </c>
      <c r="B60" s="63">
        <f>(B13*H13+B36*H36)/H60</f>
        <v>8.3215054549380982E-2</v>
      </c>
      <c r="C60" s="206"/>
      <c r="D60" s="39"/>
      <c r="E60" s="39"/>
      <c r="F60" s="63">
        <f>(F13*H13+F36*H36)/H60</f>
        <v>0.14193119342689126</v>
      </c>
      <c r="G60" s="63"/>
      <c r="H60" s="24">
        <f>SUM(H13,H36)</f>
        <v>6245.9118753741895</v>
      </c>
      <c r="I60" s="208" t="s">
        <v>236</v>
      </c>
      <c r="J60" s="40">
        <f>H60/SUM($H$60:$H$61)</f>
        <v>0.93758716491575989</v>
      </c>
      <c r="K60" s="40"/>
      <c r="L60" s="63">
        <f>J60*F60</f>
        <v>0.13307286525822931</v>
      </c>
      <c r="M60" s="20"/>
      <c r="N60" s="20"/>
      <c r="O60" s="20"/>
      <c r="P60" s="20"/>
    </row>
    <row r="61" spans="1:19">
      <c r="A61" s="18" t="s">
        <v>742</v>
      </c>
      <c r="B61" s="63">
        <f>B37</f>
        <v>0.14819647297617985</v>
      </c>
      <c r="C61" s="206"/>
      <c r="D61" s="39"/>
      <c r="E61" s="39"/>
      <c r="F61" s="63">
        <f>F37</f>
        <v>0.21577290858839077</v>
      </c>
      <c r="G61" s="63"/>
      <c r="H61" s="24">
        <f>H37</f>
        <v>415.77474864798415</v>
      </c>
      <c r="I61" s="208"/>
      <c r="J61" s="40">
        <f>H61/SUM($H$60:$H$61)</f>
        <v>6.2412835084240108E-2</v>
      </c>
      <c r="K61" s="40"/>
      <c r="L61" s="63">
        <f>J61*F61</f>
        <v>1.3466998959374048E-2</v>
      </c>
      <c r="M61" s="20"/>
      <c r="N61" s="20"/>
      <c r="O61" s="20"/>
      <c r="P61" s="20"/>
    </row>
    <row r="62" spans="1:19">
      <c r="A62" s="66" t="s">
        <v>743</v>
      </c>
      <c r="B62" s="63">
        <f>(B14*H14+B38*H38)/H62</f>
        <v>8.6435720064950441E-2</v>
      </c>
      <c r="C62" s="206"/>
      <c r="D62" s="39"/>
      <c r="E62" s="39"/>
      <c r="F62" s="63">
        <f>(F14*H14+F38*H38)/H62</f>
        <v>0.14742434490926334</v>
      </c>
      <c r="G62" s="63"/>
      <c r="H62" s="24">
        <f>SUM(H14,H38)</f>
        <v>6488.347253616208</v>
      </c>
      <c r="I62" s="208"/>
      <c r="J62" s="40">
        <f>H62/SUM($H$60:$H$61)</f>
        <v>0.9739796570764977</v>
      </c>
      <c r="K62" s="206"/>
      <c r="L62" s="63">
        <f>J62*F62</f>
        <v>0.14358831289945162</v>
      </c>
      <c r="M62" s="20"/>
      <c r="N62" s="20"/>
      <c r="O62" s="20"/>
      <c r="P62" s="20"/>
      <c r="R62" s="48"/>
    </row>
    <row r="63" spans="1:19">
      <c r="A63" s="66" t="s">
        <v>744</v>
      </c>
      <c r="B63" s="63">
        <f>(B15*H15+B39*H39)/H63</f>
        <v>0.4040852988219204</v>
      </c>
      <c r="C63" s="206"/>
      <c r="D63" s="39"/>
      <c r="E63" s="39"/>
      <c r="F63" s="63">
        <f>(F15*H15+F39*H39)/H63</f>
        <v>1.420605674012521</v>
      </c>
      <c r="G63" s="63"/>
      <c r="H63" s="24">
        <f>SUM(H15,H39)</f>
        <v>6488.347253616208</v>
      </c>
      <c r="I63" s="63"/>
      <c r="J63" s="40">
        <f>H63/SUM($H$60:$H$61)</f>
        <v>0.9739796570764977</v>
      </c>
      <c r="K63" s="40"/>
      <c r="L63" s="63">
        <f>J63*F63</f>
        <v>1.3836410272156421</v>
      </c>
      <c r="M63" s="20"/>
      <c r="N63" s="20"/>
      <c r="O63" s="20"/>
      <c r="P63" s="20"/>
      <c r="R63" s="48"/>
    </row>
    <row r="64" spans="1:19">
      <c r="A64" s="66" t="s">
        <v>745</v>
      </c>
      <c r="B64" s="63">
        <f>(B16*H16+B40*H40)/H64</f>
        <v>2.4236494314141932E-2</v>
      </c>
      <c r="C64" s="206"/>
      <c r="D64" s="39"/>
      <c r="E64" s="39"/>
      <c r="F64" s="63">
        <f>(F16*H16+F40*H40)/H64</f>
        <v>3.14210712876688E-2</v>
      </c>
      <c r="G64" s="63"/>
      <c r="H64" s="24">
        <f>SUM(H16,H40)</f>
        <v>6488.347253616208</v>
      </c>
      <c r="I64" s="63"/>
      <c r="J64" s="40">
        <f>H64/SUM($H$60:$H$61)</f>
        <v>0.9739796570764977</v>
      </c>
      <c r="K64" s="40"/>
      <c r="L64" s="63">
        <f>J64*F64</f>
        <v>3.0603484237739845E-2</v>
      </c>
      <c r="M64" s="20"/>
      <c r="N64" s="20"/>
      <c r="O64" s="20"/>
      <c r="P64" s="20"/>
      <c r="R64" s="48"/>
    </row>
    <row r="65" spans="1:17">
      <c r="A65" s="2" t="s">
        <v>140</v>
      </c>
      <c r="B65" s="61"/>
      <c r="C65" s="61"/>
      <c r="D65" s="20"/>
      <c r="E65" s="20"/>
      <c r="F65" s="61"/>
      <c r="G65" s="61"/>
      <c r="H65" s="61"/>
      <c r="I65" s="61"/>
      <c r="J65" s="20"/>
      <c r="K65" s="20"/>
      <c r="L65" s="63">
        <f>SUM(L60:L64)</f>
        <v>1.7043726885704369</v>
      </c>
      <c r="M65" s="20"/>
      <c r="N65" s="56">
        <f>'Table 3.38-Form 3547 Dist'!I27</f>
        <v>0.14438547523727488</v>
      </c>
      <c r="O65" s="208" t="s">
        <v>236</v>
      </c>
      <c r="P65" s="63">
        <f>N65*L65</f>
        <v>0.24608666062067441</v>
      </c>
    </row>
    <row r="66" spans="1:17">
      <c r="A66" s="2"/>
      <c r="B66" s="61"/>
      <c r="C66" s="61"/>
      <c r="D66" s="20"/>
      <c r="E66" s="20"/>
      <c r="F66" s="61"/>
      <c r="G66" s="61"/>
      <c r="H66" s="61"/>
      <c r="I66" s="61"/>
      <c r="J66" s="20"/>
      <c r="K66" s="20"/>
      <c r="L66" s="63"/>
      <c r="M66" s="20"/>
      <c r="N66" s="56"/>
      <c r="O66" s="208"/>
      <c r="P66" s="63"/>
    </row>
    <row r="67" spans="1:17">
      <c r="A67" s="14" t="s">
        <v>336</v>
      </c>
      <c r="B67" s="61"/>
      <c r="C67" s="61"/>
      <c r="D67" s="20"/>
      <c r="E67" s="20"/>
      <c r="F67" s="63">
        <v>0</v>
      </c>
      <c r="G67" s="61"/>
      <c r="H67" s="24">
        <f>SUM(H19,H43)</f>
        <v>9169.1456274732282</v>
      </c>
      <c r="I67" s="208"/>
      <c r="J67" s="40"/>
      <c r="K67" s="20"/>
      <c r="L67" s="63">
        <v>0</v>
      </c>
      <c r="M67" s="20"/>
      <c r="N67" s="56">
        <f>'Table 3.38-Form 3547 Dist'!I25</f>
        <v>0.19873217154474429</v>
      </c>
      <c r="O67" s="208" t="s">
        <v>236</v>
      </c>
      <c r="P67" s="63">
        <f>N67*L67</f>
        <v>0</v>
      </c>
    </row>
    <row r="68" spans="1:17">
      <c r="A68" s="20"/>
      <c r="B68" s="63"/>
      <c r="C68" s="63"/>
      <c r="D68" s="20"/>
      <c r="E68" s="20"/>
      <c r="F68" s="63"/>
      <c r="G68" s="63"/>
      <c r="H68" s="63"/>
      <c r="I68" s="63"/>
      <c r="J68" s="134"/>
      <c r="K68" s="134"/>
      <c r="L68" s="20"/>
      <c r="M68" s="20"/>
      <c r="N68" s="20"/>
      <c r="O68" s="20"/>
      <c r="P68" s="20"/>
    </row>
    <row r="69" spans="1:17">
      <c r="A69" s="14"/>
      <c r="B69" s="63"/>
      <c r="C69" s="63"/>
      <c r="D69" s="20"/>
      <c r="E69" s="20"/>
      <c r="F69" s="63"/>
      <c r="G69" s="63"/>
      <c r="H69" s="63"/>
      <c r="I69" s="63"/>
      <c r="J69" s="20"/>
      <c r="K69" s="20"/>
      <c r="L69" s="20"/>
      <c r="M69" s="20"/>
      <c r="N69" s="20"/>
      <c r="O69" s="97" t="s">
        <v>447</v>
      </c>
      <c r="P69" s="311">
        <f>P65+P57+P67</f>
        <v>1.0660446348464405</v>
      </c>
    </row>
    <row r="70" spans="1:17" hidden="1">
      <c r="A70" s="18"/>
      <c r="B70" s="63"/>
      <c r="C70" s="206"/>
      <c r="D70" s="39"/>
      <c r="E70" s="39"/>
      <c r="F70" s="63"/>
      <c r="G70" s="63"/>
      <c r="H70" s="34"/>
      <c r="I70" s="63"/>
      <c r="J70" s="40"/>
      <c r="K70" s="40"/>
      <c r="L70" s="63"/>
      <c r="M70" s="20"/>
      <c r="N70" s="20"/>
      <c r="O70" s="20"/>
      <c r="P70" s="20"/>
    </row>
    <row r="71" spans="1:17" hidden="1">
      <c r="A71" s="14"/>
      <c r="B71" s="61"/>
      <c r="C71" s="61"/>
      <c r="D71" s="20"/>
      <c r="E71" s="20"/>
      <c r="F71" s="61"/>
      <c r="G71" s="61"/>
      <c r="H71" s="61"/>
      <c r="I71" s="61"/>
      <c r="J71" s="20"/>
      <c r="K71" s="20"/>
      <c r="L71" s="63"/>
      <c r="M71" s="20"/>
      <c r="N71" s="56"/>
      <c r="O71" s="56"/>
      <c r="P71" s="311"/>
    </row>
    <row r="72" spans="1:17" hidden="1">
      <c r="A72" s="14"/>
      <c r="B72" s="61"/>
      <c r="C72" s="61"/>
      <c r="D72" s="20"/>
      <c r="E72" s="20"/>
      <c r="F72" s="61"/>
      <c r="G72" s="349" t="s">
        <v>444</v>
      </c>
      <c r="H72" s="312">
        <v>0</v>
      </c>
      <c r="I72" s="61"/>
      <c r="J72" s="20"/>
      <c r="K72" s="20"/>
      <c r="L72" s="63"/>
      <c r="M72" s="20"/>
      <c r="N72" s="56" t="s">
        <v>183</v>
      </c>
      <c r="O72" s="56"/>
      <c r="P72" s="312">
        <f>(L10*H6+L17*H13+L19*H19)-P21*SUM(H6,H13,H19)</f>
        <v>0</v>
      </c>
    </row>
    <row r="73" spans="1:17" hidden="1">
      <c r="A73" s="14"/>
      <c r="B73" s="61"/>
      <c r="C73" s="61"/>
      <c r="D73" s="20"/>
      <c r="H73" s="312">
        <v>0</v>
      </c>
      <c r="I73" s="61"/>
      <c r="J73" s="20"/>
      <c r="K73" s="20"/>
      <c r="L73" s="63"/>
      <c r="M73" s="20"/>
      <c r="N73" s="56"/>
      <c r="O73" s="56"/>
      <c r="P73" s="312">
        <f>(SUM(H28:H29)*L33+SUM(H36:H37)*L41+H43*L43)-P45*SUM(H28:H29,H36:H37,H43)</f>
        <v>0</v>
      </c>
    </row>
    <row r="74" spans="1:17" hidden="1">
      <c r="A74" s="14"/>
      <c r="B74" s="61"/>
      <c r="C74" s="61"/>
      <c r="D74" s="20"/>
      <c r="H74" s="312">
        <v>0</v>
      </c>
      <c r="I74" s="61"/>
      <c r="J74" s="20"/>
      <c r="K74" s="20"/>
      <c r="L74" s="63"/>
      <c r="M74" s="20"/>
      <c r="N74" s="56"/>
      <c r="O74" s="56"/>
      <c r="P74" s="312">
        <f>(SUM(H52:H53)*L57+SUM(H60:H61)*L65+H67*L67)-P69*SUM(H52:H53,H60:H61,H67)</f>
        <v>0</v>
      </c>
      <c r="Q74" s="24"/>
    </row>
    <row r="75" spans="1:17" hidden="1">
      <c r="A75" s="14"/>
      <c r="B75" s="61"/>
      <c r="C75" s="61"/>
      <c r="D75" s="20"/>
      <c r="E75" s="20"/>
      <c r="F75" s="61"/>
      <c r="G75" s="61"/>
      <c r="H75" s="312">
        <v>0</v>
      </c>
      <c r="I75" s="61"/>
      <c r="J75" s="20"/>
      <c r="K75" s="20"/>
      <c r="L75" s="63"/>
      <c r="M75" s="20"/>
      <c r="N75" s="56"/>
      <c r="O75" s="56"/>
      <c r="P75" s="312">
        <f>P69-'Table 3.41-Man Notice'!F25</f>
        <v>0</v>
      </c>
    </row>
    <row r="76" spans="1:17" hidden="1">
      <c r="A76" s="14"/>
      <c r="B76" s="61"/>
      <c r="C76" s="61"/>
      <c r="D76" s="20"/>
      <c r="E76" s="20"/>
      <c r="F76" s="61"/>
      <c r="G76" s="61"/>
      <c r="H76" s="312">
        <v>0</v>
      </c>
      <c r="I76" s="61"/>
      <c r="J76" s="20"/>
      <c r="K76" s="20"/>
      <c r="L76" s="63"/>
      <c r="M76" s="20"/>
      <c r="N76" s="56"/>
      <c r="O76" s="56"/>
      <c r="P76" s="351"/>
    </row>
    <row r="77" spans="1:17" hidden="1">
      <c r="A77" s="14"/>
      <c r="B77" s="61"/>
      <c r="C77" s="61"/>
      <c r="D77" s="20"/>
      <c r="E77" s="20"/>
      <c r="F77" s="61"/>
      <c r="G77" s="349" t="s">
        <v>445</v>
      </c>
      <c r="H77" s="312">
        <v>0</v>
      </c>
      <c r="I77" s="61"/>
      <c r="J77" s="20"/>
      <c r="K77" s="20"/>
      <c r="L77" s="63"/>
      <c r="M77" s="20"/>
      <c r="N77" s="56"/>
      <c r="O77" s="56"/>
      <c r="P77" s="351"/>
    </row>
    <row r="78" spans="1:17" hidden="1">
      <c r="A78" s="14"/>
      <c r="B78" s="61"/>
      <c r="C78" s="61"/>
      <c r="D78" s="20"/>
      <c r="E78" s="20"/>
      <c r="F78" s="61"/>
      <c r="G78" s="349"/>
      <c r="H78" s="312">
        <v>0</v>
      </c>
      <c r="I78" s="61"/>
      <c r="J78" s="20"/>
      <c r="K78" s="20"/>
      <c r="L78" s="63"/>
      <c r="M78" s="20"/>
      <c r="N78" s="56"/>
      <c r="O78" s="56"/>
      <c r="P78" s="351"/>
    </row>
    <row r="79" spans="1:17">
      <c r="A79" s="103"/>
      <c r="B79" s="209"/>
      <c r="C79" s="209"/>
      <c r="D79" s="103"/>
      <c r="E79" s="103"/>
      <c r="F79" s="103"/>
      <c r="G79" s="103"/>
      <c r="H79" s="103"/>
      <c r="I79" s="103"/>
      <c r="J79" s="103"/>
      <c r="K79" s="103"/>
      <c r="L79" s="103"/>
    </row>
    <row r="80" spans="1:17">
      <c r="A80" s="4" t="s">
        <v>230</v>
      </c>
      <c r="B80" s="35"/>
      <c r="C80" s="35"/>
    </row>
    <row r="81" spans="1:7">
      <c r="A81" s="17" t="s">
        <v>781</v>
      </c>
      <c r="B81" s="17"/>
      <c r="G81" s="17" t="s">
        <v>748</v>
      </c>
    </row>
    <row r="82" spans="1:7">
      <c r="A82" s="17" t="s">
        <v>749</v>
      </c>
      <c r="B82" s="100"/>
      <c r="G82" s="17" t="s">
        <v>782</v>
      </c>
    </row>
    <row r="83" spans="1:7">
      <c r="A83" s="17" t="s">
        <v>750</v>
      </c>
      <c r="G83" s="17" t="s">
        <v>783</v>
      </c>
    </row>
    <row r="84" spans="1:7">
      <c r="A84" s="17" t="s">
        <v>784</v>
      </c>
      <c r="G84" s="100" t="s">
        <v>751</v>
      </c>
    </row>
    <row r="85" spans="1:7">
      <c r="A85" s="17" t="s">
        <v>11</v>
      </c>
    </row>
    <row r="86" spans="1:7">
      <c r="A86" s="17" t="s">
        <v>83</v>
      </c>
    </row>
  </sheetData>
  <phoneticPr fontId="0" type="noConversion"/>
  <printOptions horizontalCentered="1"/>
  <pageMargins left="0.75" right="0.75" top="1" bottom="1" header="0.5" footer="0.5"/>
  <pageSetup scale="81" fitToHeight="3" orientation="landscape" r:id="rId1"/>
  <headerFooter alignWithMargins="0">
    <oddFooter>&amp;L&amp;F</oddFooter>
  </headerFooter>
  <rowBreaks count="2" manualBreakCount="2">
    <brk id="22" max="15" man="1"/>
    <brk id="46" max="15"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5">
    <pageSetUpPr fitToPage="1"/>
  </sheetPr>
  <dimension ref="A1:R27"/>
  <sheetViews>
    <sheetView zoomScale="70" workbookViewId="0"/>
  </sheetViews>
  <sheetFormatPr baseColWidth="10" defaultColWidth="9.1640625" defaultRowHeight="13"/>
  <cols>
    <col min="1" max="1" width="42.5" style="4" customWidth="1"/>
    <col min="2" max="2" width="8.83203125" style="28" customWidth="1"/>
    <col min="3" max="3" width="3.5" style="28" customWidth="1"/>
    <col min="4" max="4" width="10.5" style="4" customWidth="1"/>
    <col min="5" max="5" width="3.5" style="4" customWidth="1"/>
    <col min="6" max="6" width="9.83203125" style="4" customWidth="1"/>
    <col min="7" max="7" width="3.5" style="4" customWidth="1"/>
    <col min="8" max="8" width="10.5" style="4" customWidth="1"/>
    <col min="9" max="9" width="3.5" style="4" customWidth="1"/>
    <col min="10" max="10" width="10.5" style="4" customWidth="1"/>
    <col min="11" max="11" width="3.5" style="4" customWidth="1"/>
    <col min="12" max="12" width="11.5" style="4" customWidth="1"/>
    <col min="13" max="13" width="3.5" style="4" customWidth="1"/>
    <col min="14" max="14" width="8.5" style="4" customWidth="1"/>
    <col min="15" max="15" width="3.5" style="4" customWidth="1"/>
    <col min="16" max="16" width="14.5" style="4" customWidth="1"/>
    <col min="17" max="17" width="10.5" style="4" bestFit="1" customWidth="1"/>
    <col min="18" max="18" width="12" style="4" customWidth="1"/>
    <col min="19" max="16384" width="9.1640625" style="4"/>
  </cols>
  <sheetData>
    <row r="1" spans="1:18" ht="16">
      <c r="A1" s="117" t="s">
        <v>548</v>
      </c>
    </row>
    <row r="2" spans="1:18" ht="16">
      <c r="A2" s="117" t="s">
        <v>780</v>
      </c>
    </row>
    <row r="3" spans="1:18" ht="5" customHeight="1">
      <c r="A3" s="346"/>
    </row>
    <row r="4" spans="1:18">
      <c r="A4" s="14"/>
      <c r="B4" s="61"/>
      <c r="C4" s="61"/>
      <c r="D4" s="20"/>
      <c r="E4" s="20"/>
      <c r="F4" s="61"/>
      <c r="G4" s="61"/>
      <c r="H4" s="61"/>
      <c r="I4" s="61"/>
      <c r="J4" s="20"/>
      <c r="K4" s="20"/>
      <c r="L4" s="63"/>
      <c r="M4" s="20"/>
      <c r="N4" s="56"/>
      <c r="O4" s="56"/>
      <c r="P4" s="311"/>
    </row>
    <row r="5" spans="1:18" ht="16">
      <c r="A5" s="117" t="s">
        <v>753</v>
      </c>
      <c r="B5" s="35"/>
      <c r="C5" s="35"/>
    </row>
    <row r="6" spans="1:18" ht="28">
      <c r="A6" s="14"/>
      <c r="B6" s="132" t="s">
        <v>204</v>
      </c>
      <c r="C6" s="132"/>
      <c r="D6" s="119" t="s">
        <v>240</v>
      </c>
      <c r="E6" s="119"/>
      <c r="F6" s="132" t="s">
        <v>203</v>
      </c>
      <c r="G6" s="132"/>
      <c r="H6" s="132" t="s">
        <v>104</v>
      </c>
      <c r="I6" s="132"/>
      <c r="J6" s="133" t="s">
        <v>92</v>
      </c>
      <c r="K6" s="133"/>
      <c r="L6" s="119" t="s">
        <v>135</v>
      </c>
      <c r="M6" s="20"/>
      <c r="N6" s="133" t="s">
        <v>134</v>
      </c>
      <c r="O6" s="133"/>
      <c r="P6" s="119" t="s">
        <v>216</v>
      </c>
    </row>
    <row r="7" spans="1:18">
      <c r="A7" s="66" t="s">
        <v>136</v>
      </c>
      <c r="B7" s="63">
        <v>0.65595287225462395</v>
      </c>
      <c r="C7" s="208" t="s">
        <v>236</v>
      </c>
      <c r="D7" s="39">
        <v>1.7055951497654467</v>
      </c>
      <c r="E7" s="39"/>
      <c r="F7" s="63">
        <f>B7*D7</f>
        <v>1.1187900373922002</v>
      </c>
      <c r="G7" s="63"/>
      <c r="H7" s="34">
        <f>'Table 3.39-Form 3579 Dist'!B5</f>
        <v>5207.6187512668785</v>
      </c>
      <c r="I7" s="208" t="s">
        <v>235</v>
      </c>
      <c r="J7" s="40">
        <f>H7/SUM($H$7:$H$8)</f>
        <v>0.56239069836320355</v>
      </c>
      <c r="K7" s="40"/>
      <c r="L7" s="63">
        <f>J7*F7</f>
        <v>0.62919711045079407</v>
      </c>
      <c r="M7" s="20"/>
      <c r="N7" s="20"/>
      <c r="O7" s="20"/>
      <c r="P7" s="20"/>
      <c r="R7" s="48"/>
    </row>
    <row r="8" spans="1:18">
      <c r="A8" s="18" t="s">
        <v>742</v>
      </c>
      <c r="B8" s="63">
        <v>0.65595287225462395</v>
      </c>
      <c r="C8" s="208" t="s">
        <v>238</v>
      </c>
      <c r="D8" s="39">
        <v>1.4559921991063358</v>
      </c>
      <c r="E8" s="39"/>
      <c r="F8" s="63">
        <f>B8*D8</f>
        <v>0.95506226498412727</v>
      </c>
      <c r="G8" s="63"/>
      <c r="H8" s="34">
        <f>'Table 3.39-Form 3579 Dist'!B6</f>
        <v>4052.169446552301</v>
      </c>
      <c r="I8" s="208" t="s">
        <v>235</v>
      </c>
      <c r="J8" s="40">
        <f>H8/SUM($H$7:$H$8)</f>
        <v>0.4376093016367964</v>
      </c>
      <c r="K8" s="40"/>
      <c r="L8" s="63">
        <f>J8*F8</f>
        <v>0.41794413079936094</v>
      </c>
      <c r="M8" s="20"/>
      <c r="N8" s="20"/>
      <c r="O8" s="20"/>
      <c r="P8" s="20"/>
      <c r="R8" s="48"/>
    </row>
    <row r="9" spans="1:18">
      <c r="A9" s="66" t="s">
        <v>743</v>
      </c>
      <c r="B9" s="63">
        <f>'Table 3.40-Form Processing'!$B$6</f>
        <v>0.26820992565468488</v>
      </c>
      <c r="C9" s="206" t="s">
        <v>233</v>
      </c>
      <c r="D9" s="39">
        <v>1.7055951497654467</v>
      </c>
      <c r="E9" s="39"/>
      <c r="F9" s="63">
        <f>B9*D9</f>
        <v>0.45745754831558155</v>
      </c>
      <c r="G9" s="63"/>
      <c r="H9" s="34">
        <f>SUM(H7:H8)/'Table 3.40-Form Processing'!D6</f>
        <v>1110.6405815813985</v>
      </c>
      <c r="I9" s="208" t="s">
        <v>237</v>
      </c>
      <c r="J9" s="40">
        <f>'Table 3.40-Form Processing'!D6^-1</f>
        <v>0.1199423310614136</v>
      </c>
      <c r="K9" s="206" t="s">
        <v>233</v>
      </c>
      <c r="L9" s="63">
        <f>J9*F9</f>
        <v>5.4868524706610085E-2</v>
      </c>
      <c r="M9" s="20"/>
      <c r="N9" s="20"/>
      <c r="O9" s="20"/>
      <c r="P9" s="20"/>
      <c r="R9" s="48"/>
    </row>
    <row r="10" spans="1:18">
      <c r="A10" s="66" t="s">
        <v>744</v>
      </c>
      <c r="B10" s="63">
        <v>0.4642516176680902</v>
      </c>
      <c r="C10" s="206" t="s">
        <v>234</v>
      </c>
      <c r="D10" s="39">
        <v>3.5156084078143586</v>
      </c>
      <c r="E10" s="39"/>
      <c r="F10" s="63">
        <f>B10*D10</f>
        <v>1.632126890415355</v>
      </c>
      <c r="G10" s="63"/>
      <c r="H10" s="34">
        <f>H9</f>
        <v>1110.6405815813985</v>
      </c>
      <c r="I10" s="63"/>
      <c r="J10" s="40">
        <f>J9</f>
        <v>0.1199423310614136</v>
      </c>
      <c r="K10" s="40"/>
      <c r="L10" s="63">
        <f>J10*F10</f>
        <v>0.19576110382443401</v>
      </c>
      <c r="M10" s="20"/>
      <c r="N10" s="20"/>
      <c r="O10" s="20"/>
      <c r="P10" s="20"/>
      <c r="R10" s="48"/>
    </row>
    <row r="11" spans="1:18">
      <c r="A11" s="66" t="s">
        <v>745</v>
      </c>
      <c r="B11" s="63">
        <v>2.4236494314141935E-2</v>
      </c>
      <c r="C11" s="206" t="s">
        <v>234</v>
      </c>
      <c r="D11" s="39">
        <v>1.2964363113082193</v>
      </c>
      <c r="E11" s="39"/>
      <c r="F11" s="63">
        <f>B11*D11</f>
        <v>3.14210712876688E-2</v>
      </c>
      <c r="G11" s="63"/>
      <c r="H11" s="34">
        <f>H10</f>
        <v>1110.6405815813985</v>
      </c>
      <c r="I11" s="63"/>
      <c r="J11" s="40">
        <f>J9</f>
        <v>0.1199423310614136</v>
      </c>
      <c r="K11" s="40"/>
      <c r="L11" s="63">
        <f>J11*F11</f>
        <v>3.7687165346898485E-3</v>
      </c>
      <c r="M11" s="20"/>
      <c r="N11" s="20"/>
      <c r="O11" s="20"/>
      <c r="P11" s="20"/>
      <c r="R11" s="48"/>
    </row>
    <row r="12" spans="1:18">
      <c r="A12" s="14" t="s">
        <v>754</v>
      </c>
      <c r="B12" s="61"/>
      <c r="C12" s="61"/>
      <c r="D12" s="20"/>
      <c r="E12" s="20"/>
      <c r="F12" s="61"/>
      <c r="G12" s="61"/>
      <c r="H12" s="61"/>
      <c r="I12" s="61"/>
      <c r="J12" s="20"/>
      <c r="K12" s="20"/>
      <c r="L12" s="63">
        <f>SUM(L7:L11)</f>
        <v>1.301539586315889</v>
      </c>
      <c r="M12" s="20"/>
      <c r="N12" s="56">
        <v>1</v>
      </c>
      <c r="O12" s="56"/>
      <c r="P12" s="311">
        <f>L12*N12</f>
        <v>1.301539586315889</v>
      </c>
    </row>
    <row r="13" spans="1:18" ht="12.75" hidden="1" customHeight="1">
      <c r="A13" s="14"/>
      <c r="B13" s="61"/>
      <c r="C13" s="61"/>
      <c r="D13" s="20"/>
      <c r="E13" s="20"/>
      <c r="F13" s="61"/>
      <c r="G13" s="61"/>
      <c r="H13" s="61"/>
      <c r="I13" s="61"/>
      <c r="J13" s="20"/>
      <c r="K13" s="20"/>
      <c r="L13" s="63"/>
      <c r="M13" s="20"/>
      <c r="N13" s="56"/>
      <c r="O13" s="56"/>
      <c r="P13" s="311"/>
    </row>
    <row r="14" spans="1:18" ht="12.75" hidden="1" customHeight="1">
      <c r="A14" s="14"/>
      <c r="B14" s="61"/>
      <c r="C14" s="61"/>
      <c r="D14" s="20"/>
      <c r="E14" s="20"/>
      <c r="F14" s="61"/>
      <c r="G14" s="349" t="s">
        <v>444</v>
      </c>
      <c r="H14" s="350">
        <v>0</v>
      </c>
      <c r="I14" s="61"/>
      <c r="J14" s="20"/>
      <c r="K14" s="20"/>
      <c r="L14" s="63"/>
      <c r="M14" s="20"/>
      <c r="N14" s="56" t="s">
        <v>183</v>
      </c>
      <c r="O14" s="56"/>
      <c r="P14" s="312">
        <f>P12-'Table 3.41-Man Notice'!F33</f>
        <v>0</v>
      </c>
    </row>
    <row r="15" spans="1:18" ht="12.75" hidden="1" customHeight="1">
      <c r="A15" s="14"/>
      <c r="B15" s="61"/>
      <c r="C15" s="61"/>
      <c r="D15" s="20"/>
      <c r="E15" s="20"/>
      <c r="F15" s="61"/>
      <c r="G15" s="349" t="s">
        <v>445</v>
      </c>
      <c r="H15" s="350">
        <v>0</v>
      </c>
      <c r="I15" s="61"/>
      <c r="J15" s="20"/>
      <c r="K15" s="20"/>
      <c r="L15" s="63"/>
      <c r="M15" s="20"/>
      <c r="N15" s="56"/>
      <c r="O15" s="56"/>
      <c r="P15" s="351"/>
    </row>
    <row r="16" spans="1:18" ht="12.75" hidden="1" customHeight="1">
      <c r="A16" s="14"/>
      <c r="B16" s="61"/>
      <c r="C16" s="61"/>
      <c r="D16" s="20"/>
      <c r="E16" s="20"/>
      <c r="F16" s="61"/>
      <c r="G16" s="349"/>
      <c r="H16" s="414"/>
      <c r="I16" s="61"/>
      <c r="J16" s="20"/>
      <c r="K16" s="20"/>
      <c r="L16" s="63"/>
      <c r="M16" s="20"/>
      <c r="N16" s="56"/>
      <c r="O16" s="56"/>
      <c r="P16" s="351"/>
    </row>
    <row r="17" spans="1:6">
      <c r="A17" s="103"/>
      <c r="B17" s="209"/>
      <c r="C17" s="209"/>
      <c r="D17" s="103"/>
      <c r="E17" s="103"/>
      <c r="F17" s="103"/>
    </row>
    <row r="18" spans="1:6">
      <c r="A18" s="4" t="s">
        <v>230</v>
      </c>
      <c r="B18" s="35"/>
      <c r="C18" s="35"/>
    </row>
    <row r="19" spans="1:6">
      <c r="A19" s="17" t="s">
        <v>781</v>
      </c>
      <c r="B19" s="4"/>
    </row>
    <row r="20" spans="1:6">
      <c r="A20" s="17" t="s">
        <v>755</v>
      </c>
      <c r="B20" s="4"/>
    </row>
    <row r="21" spans="1:6">
      <c r="A21" s="17" t="s">
        <v>785</v>
      </c>
      <c r="B21" s="4"/>
    </row>
    <row r="22" spans="1:6">
      <c r="A22" s="17" t="s">
        <v>756</v>
      </c>
    </row>
    <row r="23" spans="1:6">
      <c r="A23" s="17" t="s">
        <v>786</v>
      </c>
    </row>
    <row r="24" spans="1:6">
      <c r="A24" s="100" t="s">
        <v>757</v>
      </c>
    </row>
    <row r="25" spans="1:6">
      <c r="A25" s="17" t="s">
        <v>787</v>
      </c>
    </row>
    <row r="27" spans="1:6">
      <c r="A27" s="28"/>
    </row>
  </sheetData>
  <phoneticPr fontId="0" type="noConversion"/>
  <printOptions horizontalCentered="1"/>
  <pageMargins left="0.75" right="0.75" top="1" bottom="1" header="0.5" footer="0.5"/>
  <pageSetup scale="81" orientation="landscape" r:id="rId1"/>
  <headerFooter alignWithMargins="0">
    <oddFooter>&amp;L&amp;F</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4"/>
  <dimension ref="A1:N89"/>
  <sheetViews>
    <sheetView zoomScale="70" zoomScaleNormal="70" workbookViewId="0"/>
  </sheetViews>
  <sheetFormatPr baseColWidth="10" defaultColWidth="9.1640625" defaultRowHeight="13"/>
  <cols>
    <col min="1" max="1" width="18.1640625" style="4" customWidth="1"/>
    <col min="2" max="2" width="14.83203125" style="4" customWidth="1"/>
    <col min="3" max="3" width="21.5" style="4" customWidth="1"/>
    <col min="4" max="4" width="11.5" style="4" customWidth="1"/>
    <col min="5" max="5" width="3.5" style="4" customWidth="1"/>
    <col min="6" max="6" width="11.5" style="4" customWidth="1"/>
    <col min="7" max="7" width="3.5" style="4" customWidth="1"/>
    <col min="8" max="8" width="11.5" style="4" customWidth="1"/>
    <col min="9" max="9" width="3.5" style="2" customWidth="1"/>
    <col min="10" max="10" width="11.5" style="4" customWidth="1"/>
    <col min="11" max="11" width="3.5" style="2" customWidth="1"/>
    <col min="12" max="12" width="11.5" style="2" customWidth="1"/>
    <col min="13" max="13" width="3.5" style="2" customWidth="1"/>
    <col min="14" max="14" width="11.5" style="4" customWidth="1"/>
    <col min="15" max="15" width="9.1640625" style="4"/>
    <col min="16" max="16" width="9.5" style="4" bestFit="1" customWidth="1"/>
    <col min="17" max="16384" width="9.1640625" style="4"/>
  </cols>
  <sheetData>
    <row r="1" spans="1:14" s="2" customFormat="1" ht="16">
      <c r="A1" s="117" t="s">
        <v>549</v>
      </c>
    </row>
    <row r="2" spans="1:14" ht="15.75" customHeight="1">
      <c r="A2" s="117" t="s">
        <v>780</v>
      </c>
      <c r="B2" s="1"/>
      <c r="C2" s="1"/>
      <c r="D2" s="1"/>
      <c r="E2" s="1"/>
      <c r="F2" s="1"/>
      <c r="G2" s="1"/>
      <c r="H2" s="1"/>
      <c r="I2" s="1"/>
      <c r="J2" s="1"/>
      <c r="K2" s="1"/>
      <c r="L2" s="1"/>
      <c r="M2" s="1"/>
      <c r="N2" s="1"/>
    </row>
    <row r="3" spans="1:14" ht="5" customHeight="1">
      <c r="A3" s="335"/>
      <c r="B3" s="1"/>
      <c r="C3" s="1"/>
      <c r="D3" s="1"/>
      <c r="E3" s="1"/>
      <c r="F3" s="1"/>
      <c r="G3" s="1"/>
      <c r="H3" s="1"/>
      <c r="I3" s="1"/>
      <c r="J3" s="1"/>
      <c r="K3" s="1"/>
      <c r="L3" s="1"/>
      <c r="M3" s="1"/>
      <c r="N3" s="1"/>
    </row>
    <row r="4" spans="1:14" ht="12.75" customHeight="1">
      <c r="A4" s="5" t="s">
        <v>350</v>
      </c>
      <c r="B4" s="242"/>
      <c r="C4" s="242"/>
      <c r="D4" s="20"/>
      <c r="E4" s="20"/>
      <c r="F4" s="20"/>
      <c r="G4" s="20"/>
      <c r="H4" s="20"/>
      <c r="I4" s="20"/>
      <c r="J4" s="20"/>
      <c r="K4" s="20"/>
      <c r="L4" s="20"/>
      <c r="M4" s="20"/>
      <c r="N4" s="61"/>
    </row>
    <row r="5" spans="1:14" ht="25.5" customHeight="1">
      <c r="A5" s="326" t="s">
        <v>351</v>
      </c>
      <c r="B5" s="326" t="s">
        <v>352</v>
      </c>
      <c r="C5" s="327" t="s">
        <v>359</v>
      </c>
      <c r="D5" s="119" t="s">
        <v>365</v>
      </c>
      <c r="E5" s="20"/>
      <c r="F5" s="138" t="s">
        <v>244</v>
      </c>
      <c r="G5" s="119"/>
      <c r="H5" s="135" t="s">
        <v>332</v>
      </c>
      <c r="I5" s="118"/>
      <c r="J5" s="119" t="s">
        <v>241</v>
      </c>
      <c r="K5" s="118"/>
      <c r="L5" s="119" t="s">
        <v>213</v>
      </c>
      <c r="M5" s="118"/>
      <c r="N5" s="119" t="s">
        <v>333</v>
      </c>
    </row>
    <row r="6" spans="1:14" ht="12.75" customHeight="1">
      <c r="A6" s="11" t="s">
        <v>353</v>
      </c>
      <c r="B6" t="s">
        <v>179</v>
      </c>
      <c r="C6" t="s">
        <v>354</v>
      </c>
      <c r="D6" s="34">
        <v>9297.1119999999992</v>
      </c>
      <c r="E6" s="20"/>
      <c r="F6" s="36">
        <v>908.47047287839632</v>
      </c>
      <c r="G6" s="17"/>
      <c r="H6" s="63">
        <f t="shared" ref="H6:H13" si="0">IF(D6&lt;&gt;0,F6/D6,0)</f>
        <v>9.7715341374654457E-2</v>
      </c>
      <c r="I6" s="20"/>
      <c r="J6" s="39">
        <v>1.2919799506324319</v>
      </c>
      <c r="K6" s="20"/>
      <c r="L6" s="36">
        <f t="shared" ref="L6:L12" si="1">F6*J6</f>
        <v>1173.7256367004525</v>
      </c>
      <c r="M6" s="20"/>
      <c r="N6" s="61">
        <f t="shared" ref="N6:N13" si="2">IF(D6&lt;&gt;0,L6/D6,0)</f>
        <v>0.12624626192525729</v>
      </c>
    </row>
    <row r="7" spans="1:14" ht="12.75" customHeight="1">
      <c r="A7"/>
      <c r="B7" s="11" t="s">
        <v>314</v>
      </c>
      <c r="C7" s="11" t="s">
        <v>372</v>
      </c>
      <c r="D7" s="34">
        <v>9297.1119999999992</v>
      </c>
      <c r="E7" s="20"/>
      <c r="F7" s="36">
        <v>195.2327225213977</v>
      </c>
      <c r="G7" s="17"/>
      <c r="H7" s="63">
        <f t="shared" si="0"/>
        <v>2.0999286931403828E-2</v>
      </c>
      <c r="I7" s="20"/>
      <c r="J7" s="39">
        <v>1.7055951497654467</v>
      </c>
      <c r="K7" s="20"/>
      <c r="L7" s="36">
        <f t="shared" si="1"/>
        <v>332.98798460799924</v>
      </c>
      <c r="M7" s="20"/>
      <c r="N7" s="61">
        <f t="shared" si="2"/>
        <v>3.5816281938735303E-2</v>
      </c>
    </row>
    <row r="8" spans="1:14" ht="12.75" customHeight="1">
      <c r="A8"/>
      <c r="B8" s="11"/>
      <c r="C8" s="11" t="s">
        <v>373</v>
      </c>
      <c r="D8" s="34">
        <v>9297.1119999999992</v>
      </c>
      <c r="E8" s="20"/>
      <c r="F8" s="36">
        <v>658.91043850971721</v>
      </c>
      <c r="G8" s="17"/>
      <c r="H8" s="63">
        <f t="shared" si="0"/>
        <v>7.087259339348792E-2</v>
      </c>
      <c r="I8" s="20"/>
      <c r="J8" s="39">
        <v>1.7055951497654467</v>
      </c>
      <c r="K8" s="20"/>
      <c r="L8" s="36">
        <f t="shared" si="1"/>
        <v>1123.8344480519972</v>
      </c>
      <c r="M8" s="20"/>
      <c r="N8" s="61">
        <f t="shared" si="2"/>
        <v>0.12087995154323164</v>
      </c>
    </row>
    <row r="9" spans="1:14" ht="12.75" customHeight="1">
      <c r="A9"/>
      <c r="B9" s="11"/>
      <c r="C9" s="11" t="s">
        <v>374</v>
      </c>
      <c r="D9" s="34">
        <v>40.188021588642961</v>
      </c>
      <c r="E9" s="20"/>
      <c r="F9" s="36">
        <v>21.206849704960483</v>
      </c>
      <c r="G9" s="17"/>
      <c r="H9" s="63">
        <f t="shared" si="0"/>
        <v>0.52769081100905668</v>
      </c>
      <c r="I9" s="20"/>
      <c r="J9" s="39">
        <v>1.7055951497654467</v>
      </c>
      <c r="K9" s="20"/>
      <c r="L9" s="36">
        <f t="shared" si="1"/>
        <v>36.170299998585392</v>
      </c>
      <c r="M9" s="20"/>
      <c r="N9" s="61">
        <f t="shared" si="2"/>
        <v>0.90002688783284202</v>
      </c>
    </row>
    <row r="10" spans="1:14" ht="12.75" customHeight="1">
      <c r="A10"/>
      <c r="B10" s="12" t="s">
        <v>366</v>
      </c>
      <c r="C10" s="12" t="s">
        <v>367</v>
      </c>
      <c r="D10" s="34">
        <v>9297.1119999999992</v>
      </c>
      <c r="E10" s="20"/>
      <c r="F10" s="36">
        <v>32.464751870720306</v>
      </c>
      <c r="G10" s="17"/>
      <c r="H10" s="63">
        <f t="shared" si="0"/>
        <v>3.491917906412261E-3</v>
      </c>
      <c r="I10" s="20"/>
      <c r="J10" s="39">
        <v>1.7055951497654467</v>
      </c>
      <c r="K10" s="20"/>
      <c r="L10" s="36">
        <f t="shared" si="1"/>
        <v>55.371723329039263</v>
      </c>
      <c r="M10" s="20"/>
      <c r="N10" s="61">
        <f t="shared" si="2"/>
        <v>5.9557982445558651E-3</v>
      </c>
    </row>
    <row r="11" spans="1:14" ht="12.75" customHeight="1">
      <c r="A11"/>
      <c r="B11" t="s">
        <v>133</v>
      </c>
      <c r="C11" s="11" t="s">
        <v>375</v>
      </c>
      <c r="D11" s="34">
        <v>9297.1119999999992</v>
      </c>
      <c r="E11" s="20"/>
      <c r="F11" s="36">
        <v>6908.8253044873545</v>
      </c>
      <c r="G11" s="17"/>
      <c r="H11" s="63">
        <f t="shared" si="0"/>
        <v>0.74311520658107111</v>
      </c>
      <c r="I11" s="20"/>
      <c r="J11" s="39">
        <v>1.2964363113082193</v>
      </c>
      <c r="K11" s="20"/>
      <c r="L11" s="36">
        <f t="shared" si="1"/>
        <v>8956.8519932224717</v>
      </c>
      <c r="M11" s="20"/>
      <c r="N11" s="61">
        <f t="shared" si="2"/>
        <v>0.96340153729700928</v>
      </c>
    </row>
    <row r="12" spans="1:14" ht="12.75" customHeight="1">
      <c r="A12" s="204"/>
      <c r="B12" s="204" t="s">
        <v>133</v>
      </c>
      <c r="C12" s="238" t="s">
        <v>177</v>
      </c>
      <c r="D12" s="328">
        <v>664.07942857142848</v>
      </c>
      <c r="E12" s="329"/>
      <c r="F12" s="332">
        <v>67.441644856568345</v>
      </c>
      <c r="G12" s="106"/>
      <c r="H12" s="330">
        <f t="shared" si="0"/>
        <v>0.10155659391776252</v>
      </c>
      <c r="I12" s="329"/>
      <c r="J12" s="331">
        <v>1.4559921991063358</v>
      </c>
      <c r="K12" s="329"/>
      <c r="L12" s="332">
        <f t="shared" si="1"/>
        <v>98.194508806063453</v>
      </c>
      <c r="M12" s="329"/>
      <c r="N12" s="129">
        <f t="shared" si="2"/>
        <v>0.1478656085120722</v>
      </c>
    </row>
    <row r="13" spans="1:14" ht="12.75" customHeight="1">
      <c r="A13"/>
      <c r="B13"/>
      <c r="C13" s="12" t="s">
        <v>97</v>
      </c>
      <c r="D13" s="34">
        <v>9297.1119999999992</v>
      </c>
      <c r="E13" s="20"/>
      <c r="F13" s="36">
        <f>SUM(F6:F12)</f>
        <v>8792.5521848291137</v>
      </c>
      <c r="G13" s="20"/>
      <c r="H13" s="63">
        <f t="shared" si="0"/>
        <v>0.9457294033705429</v>
      </c>
      <c r="I13" s="20"/>
      <c r="J13" s="20"/>
      <c r="K13" s="20"/>
      <c r="L13" s="36">
        <f>SUM(L6:L12)</f>
        <v>11777.136594716609</v>
      </c>
      <c r="M13" s="20"/>
      <c r="N13" s="61">
        <f t="shared" si="2"/>
        <v>1.2667521478408144</v>
      </c>
    </row>
    <row r="14" spans="1:14" ht="12.75" customHeight="1">
      <c r="A14"/>
      <c r="B14"/>
      <c r="C14"/>
      <c r="D14" s="20"/>
      <c r="E14" s="20"/>
      <c r="F14" s="20"/>
      <c r="G14" s="20"/>
      <c r="H14" s="20"/>
      <c r="I14" s="20"/>
      <c r="J14" s="20"/>
      <c r="K14" s="20"/>
      <c r="L14" s="20"/>
      <c r="M14" s="20"/>
      <c r="N14" s="61"/>
    </row>
    <row r="15" spans="1:14" ht="12.75" customHeight="1">
      <c r="A15" t="s">
        <v>355</v>
      </c>
      <c r="B15" t="s">
        <v>133</v>
      </c>
      <c r="C15" s="11" t="s">
        <v>356</v>
      </c>
      <c r="D15" s="34">
        <v>1874.874</v>
      </c>
      <c r="E15" s="20"/>
      <c r="F15" s="36">
        <v>1114.5979038587832</v>
      </c>
      <c r="G15" s="17"/>
      <c r="H15" s="63">
        <f t="shared" ref="H15:H22" si="3">IF(D15&lt;&gt;0,F15/D15,0)</f>
        <v>0.59449216526485682</v>
      </c>
      <c r="I15" s="20"/>
      <c r="J15" s="39">
        <v>1.2964363113082193</v>
      </c>
      <c r="K15" s="20"/>
      <c r="L15" s="36">
        <f t="shared" ref="L15:L21" si="4">F15*J15</f>
        <v>1445.0051950705542</v>
      </c>
      <c r="M15" s="20"/>
      <c r="N15" s="61">
        <f t="shared" ref="N15:N22" si="5">IF(D15&lt;&gt;0,L15/D15,0)</f>
        <v>0.77072122983760738</v>
      </c>
    </row>
    <row r="16" spans="1:14" ht="12.75" customHeight="1">
      <c r="A16"/>
      <c r="B16" s="11" t="s">
        <v>314</v>
      </c>
      <c r="C16" s="11" t="s">
        <v>372</v>
      </c>
      <c r="D16" s="34">
        <v>1874.874</v>
      </c>
      <c r="E16" s="20"/>
      <c r="F16" s="36">
        <v>39.371017086228818</v>
      </c>
      <c r="G16" s="17"/>
      <c r="H16" s="63">
        <f t="shared" si="3"/>
        <v>2.0999286931403828E-2</v>
      </c>
      <c r="I16" s="20"/>
      <c r="J16" s="39">
        <v>1.7055951497654467</v>
      </c>
      <c r="K16" s="20"/>
      <c r="L16" s="36">
        <f t="shared" si="4"/>
        <v>67.151015783604407</v>
      </c>
      <c r="M16" s="20"/>
      <c r="N16" s="61">
        <f t="shared" si="5"/>
        <v>3.5816281938735303E-2</v>
      </c>
    </row>
    <row r="17" spans="1:14" ht="12.75" customHeight="1">
      <c r="A17"/>
      <c r="B17" s="11"/>
      <c r="C17" s="11" t="s">
        <v>373</v>
      </c>
      <c r="D17" s="34">
        <v>1874.874</v>
      </c>
      <c r="E17" s="20"/>
      <c r="F17" s="36">
        <v>132.87718266602226</v>
      </c>
      <c r="G17" s="17"/>
      <c r="H17" s="63">
        <f t="shared" si="3"/>
        <v>7.087259339348792E-2</v>
      </c>
      <c r="I17" s="20"/>
      <c r="J17" s="39">
        <v>1.7055951497654467</v>
      </c>
      <c r="K17" s="20"/>
      <c r="L17" s="36">
        <f t="shared" si="4"/>
        <v>226.63467826966485</v>
      </c>
      <c r="M17" s="20"/>
      <c r="N17" s="61">
        <f t="shared" si="5"/>
        <v>0.12087995154323163</v>
      </c>
    </row>
    <row r="18" spans="1:14" ht="12.75" customHeight="1">
      <c r="A18"/>
      <c r="B18" s="11"/>
      <c r="C18" s="11" t="s">
        <v>374</v>
      </c>
      <c r="D18" s="34">
        <v>8.1043959444594584</v>
      </c>
      <c r="E18" s="20"/>
      <c r="F18" s="36">
        <v>4.276615268670322</v>
      </c>
      <c r="G18" s="17"/>
      <c r="H18" s="63">
        <f t="shared" si="3"/>
        <v>0.52769081100905679</v>
      </c>
      <c r="I18" s="20"/>
      <c r="J18" s="39">
        <v>1.7055951497654467</v>
      </c>
      <c r="K18" s="20"/>
      <c r="L18" s="36">
        <f t="shared" si="4"/>
        <v>7.2941742596569537</v>
      </c>
      <c r="M18" s="20"/>
      <c r="N18" s="61">
        <f t="shared" si="5"/>
        <v>0.90002688783284213</v>
      </c>
    </row>
    <row r="19" spans="1:14" ht="12.75" customHeight="1">
      <c r="A19"/>
      <c r="B19" s="12" t="s">
        <v>366</v>
      </c>
      <c r="C19" s="12" t="s">
        <v>367</v>
      </c>
      <c r="D19" s="34">
        <v>1874.874</v>
      </c>
      <c r="E19" s="20"/>
      <c r="F19" s="36">
        <v>6.5469060928667817</v>
      </c>
      <c r="G19" s="17"/>
      <c r="H19" s="63">
        <f t="shared" si="3"/>
        <v>3.491917906412261E-3</v>
      </c>
      <c r="I19" s="20"/>
      <c r="J19" s="39">
        <v>1.7055951497654467</v>
      </c>
      <c r="K19" s="20"/>
      <c r="L19" s="36">
        <f t="shared" si="4"/>
        <v>11.166371277963433</v>
      </c>
      <c r="M19" s="20"/>
      <c r="N19" s="61">
        <f t="shared" si="5"/>
        <v>5.9557982445558651E-3</v>
      </c>
    </row>
    <row r="20" spans="1:14" ht="12.75" customHeight="1">
      <c r="A20"/>
      <c r="B20" t="s">
        <v>133</v>
      </c>
      <c r="C20" s="11" t="s">
        <v>375</v>
      </c>
      <c r="D20" s="34">
        <v>1874.874</v>
      </c>
      <c r="E20" s="20"/>
      <c r="F20" s="36">
        <v>1393.2473798234792</v>
      </c>
      <c r="G20" s="17"/>
      <c r="H20" s="63">
        <f t="shared" si="3"/>
        <v>0.74311520658107111</v>
      </c>
      <c r="I20" s="20"/>
      <c r="J20" s="39">
        <v>1.2964363113082193</v>
      </c>
      <c r="K20" s="20"/>
      <c r="L20" s="36">
        <f t="shared" si="4"/>
        <v>1806.2564938381929</v>
      </c>
      <c r="M20" s="20"/>
      <c r="N20" s="61">
        <f t="shared" si="5"/>
        <v>0.96340153729700928</v>
      </c>
    </row>
    <row r="21" spans="1:14" ht="12.75" customHeight="1">
      <c r="A21" s="204"/>
      <c r="B21" s="204" t="s">
        <v>133</v>
      </c>
      <c r="C21" s="238" t="s">
        <v>177</v>
      </c>
      <c r="D21" s="328">
        <v>133.91957142857143</v>
      </c>
      <c r="E21" s="329"/>
      <c r="F21" s="332">
        <v>13.600415533212219</v>
      </c>
      <c r="G21" s="106"/>
      <c r="H21" s="330">
        <f t="shared" si="3"/>
        <v>0.10155659391776251</v>
      </c>
      <c r="I21" s="329"/>
      <c r="J21" s="331">
        <v>1.4559921991063358</v>
      </c>
      <c r="K21" s="329"/>
      <c r="L21" s="332">
        <f t="shared" si="4"/>
        <v>19.80209892096163</v>
      </c>
      <c r="M21" s="329"/>
      <c r="N21" s="129">
        <f t="shared" si="5"/>
        <v>0.14786560851207217</v>
      </c>
    </row>
    <row r="22" spans="1:14" ht="12.75" customHeight="1">
      <c r="A22"/>
      <c r="B22"/>
      <c r="C22"/>
      <c r="D22" s="34">
        <v>1874.874</v>
      </c>
      <c r="E22" s="20"/>
      <c r="F22" s="36">
        <f>SUM(F15:F21)</f>
        <v>2704.5174203292627</v>
      </c>
      <c r="G22" s="20"/>
      <c r="H22" s="63">
        <f t="shared" si="3"/>
        <v>1.4425062272607454</v>
      </c>
      <c r="I22" s="20"/>
      <c r="J22" s="20"/>
      <c r="K22" s="20"/>
      <c r="L22" s="36">
        <f>SUM(L15:L21)</f>
        <v>3583.3100274205985</v>
      </c>
      <c r="M22" s="20"/>
      <c r="N22" s="61">
        <f t="shared" si="5"/>
        <v>1.9112271157531644</v>
      </c>
    </row>
    <row r="23" spans="1:14" ht="12.75" customHeight="1">
      <c r="A23"/>
      <c r="B23"/>
      <c r="C23"/>
      <c r="D23" s="20"/>
      <c r="E23" s="20"/>
      <c r="F23" s="20"/>
      <c r="G23" s="20"/>
      <c r="H23" s="20"/>
      <c r="I23" s="20"/>
      <c r="J23" s="20"/>
      <c r="K23" s="20"/>
      <c r="L23" s="20"/>
      <c r="M23" s="20"/>
      <c r="N23" s="61"/>
    </row>
    <row r="24" spans="1:14" ht="12.75" customHeight="1">
      <c r="A24" t="s">
        <v>357</v>
      </c>
      <c r="B24" s="11" t="s">
        <v>314</v>
      </c>
      <c r="C24" s="11" t="s">
        <v>372</v>
      </c>
      <c r="D24" s="34">
        <v>0</v>
      </c>
      <c r="E24" s="20"/>
      <c r="F24" s="36">
        <v>0</v>
      </c>
      <c r="G24" s="17"/>
      <c r="H24" s="63">
        <f t="shared" ref="H24:H30" si="6">IF(D24&lt;&gt;0,F24/D24,0)</f>
        <v>0</v>
      </c>
      <c r="I24" s="20"/>
      <c r="J24" s="39">
        <v>1.7055951497654467</v>
      </c>
      <c r="K24" s="20"/>
      <c r="L24" s="36">
        <f t="shared" ref="L24:L29" si="7">F24*J24</f>
        <v>0</v>
      </c>
      <c r="M24" s="20"/>
      <c r="N24" s="61">
        <f t="shared" ref="N24:N30" si="8">IF(D24&lt;&gt;0,L24/D24,0)</f>
        <v>0</v>
      </c>
    </row>
    <row r="25" spans="1:14" ht="12.75" customHeight="1">
      <c r="A25"/>
      <c r="B25" s="11"/>
      <c r="C25" s="11" t="s">
        <v>373</v>
      </c>
      <c r="D25" s="34">
        <v>14791.556</v>
      </c>
      <c r="E25" s="20"/>
      <c r="F25" s="36">
        <v>1048.3159340450065</v>
      </c>
      <c r="G25" s="17"/>
      <c r="H25" s="63">
        <f t="shared" si="6"/>
        <v>7.087259339348792E-2</v>
      </c>
      <c r="I25" s="20"/>
      <c r="J25" s="39">
        <v>1.7055951497654467</v>
      </c>
      <c r="K25" s="20"/>
      <c r="L25" s="36">
        <f t="shared" si="7"/>
        <v>1788.002572528997</v>
      </c>
      <c r="M25" s="20"/>
      <c r="N25" s="61">
        <f t="shared" si="8"/>
        <v>0.12087995154323163</v>
      </c>
    </row>
    <row r="26" spans="1:14" ht="12.75" customHeight="1">
      <c r="A26"/>
      <c r="B26" s="11"/>
      <c r="C26" s="11" t="s">
        <v>374</v>
      </c>
      <c r="D26" s="34">
        <v>0</v>
      </c>
      <c r="E26" s="20"/>
      <c r="F26" s="36">
        <v>0</v>
      </c>
      <c r="G26" s="17"/>
      <c r="H26" s="63">
        <f t="shared" si="6"/>
        <v>0</v>
      </c>
      <c r="I26" s="20"/>
      <c r="J26" s="39">
        <v>1.7055951497654467</v>
      </c>
      <c r="K26" s="20"/>
      <c r="L26" s="36">
        <f t="shared" si="7"/>
        <v>0</v>
      </c>
      <c r="M26" s="20"/>
      <c r="N26" s="61">
        <f t="shared" si="8"/>
        <v>0</v>
      </c>
    </row>
    <row r="27" spans="1:14" ht="12.75" customHeight="1">
      <c r="A27"/>
      <c r="B27" s="12" t="s">
        <v>366</v>
      </c>
      <c r="C27" s="12" t="s">
        <v>367</v>
      </c>
      <c r="D27" s="34">
        <v>14791.556</v>
      </c>
      <c r="E27" s="20"/>
      <c r="F27" s="36">
        <v>51.650899260099713</v>
      </c>
      <c r="G27" s="17"/>
      <c r="H27" s="63">
        <f t="shared" si="6"/>
        <v>3.4919179064122606E-3</v>
      </c>
      <c r="I27" s="20"/>
      <c r="J27" s="39">
        <v>1.7055951497654467</v>
      </c>
      <c r="K27" s="20"/>
      <c r="L27" s="36">
        <f t="shared" si="7"/>
        <v>88.09552325904977</v>
      </c>
      <c r="M27" s="20"/>
      <c r="N27" s="61">
        <f t="shared" si="8"/>
        <v>5.9557982445558643E-3</v>
      </c>
    </row>
    <row r="28" spans="1:14" ht="12.75" customHeight="1">
      <c r="A28"/>
      <c r="B28" t="s">
        <v>133</v>
      </c>
      <c r="C28" s="11" t="s">
        <v>375</v>
      </c>
      <c r="D28" s="34">
        <v>14791.556</v>
      </c>
      <c r="E28" s="20"/>
      <c r="F28" s="36">
        <v>10991.830192595482</v>
      </c>
      <c r="G28" s="17"/>
      <c r="H28" s="63">
        <f t="shared" si="6"/>
        <v>0.74311520658107111</v>
      </c>
      <c r="I28" s="20"/>
      <c r="J28" s="39">
        <v>1.2964363113082193</v>
      </c>
      <c r="K28" s="20"/>
      <c r="L28" s="36">
        <f t="shared" si="7"/>
        <v>14250.207789414801</v>
      </c>
      <c r="M28" s="20"/>
      <c r="N28" s="61">
        <f t="shared" si="8"/>
        <v>0.96340153729700917</v>
      </c>
    </row>
    <row r="29" spans="1:14" ht="12.75" customHeight="1">
      <c r="A29" s="204"/>
      <c r="B29" s="204" t="s">
        <v>133</v>
      </c>
      <c r="C29" s="238" t="s">
        <v>177</v>
      </c>
      <c r="D29" s="328">
        <v>1056.5397142857144</v>
      </c>
      <c r="E29" s="329"/>
      <c r="F29" s="332">
        <v>107.29857472170313</v>
      </c>
      <c r="G29" s="106"/>
      <c r="H29" s="330">
        <f t="shared" si="6"/>
        <v>0.10155659391776252</v>
      </c>
      <c r="I29" s="329"/>
      <c r="J29" s="331">
        <v>1.4559921991063358</v>
      </c>
      <c r="K29" s="329"/>
      <c r="L29" s="332">
        <f t="shared" si="7"/>
        <v>156.22588777002804</v>
      </c>
      <c r="M29" s="329"/>
      <c r="N29" s="129">
        <f t="shared" si="8"/>
        <v>0.14786560851207217</v>
      </c>
    </row>
    <row r="30" spans="1:14" ht="12.75" customHeight="1">
      <c r="A30"/>
      <c r="B30"/>
      <c r="C30"/>
      <c r="D30" s="34">
        <v>14791.556</v>
      </c>
      <c r="E30" s="20"/>
      <c r="F30" s="36">
        <f>SUM(F24:F29)</f>
        <v>12199.095600622291</v>
      </c>
      <c r="G30" s="20"/>
      <c r="H30" s="63">
        <f t="shared" si="6"/>
        <v>0.82473376030366863</v>
      </c>
      <c r="I30" s="20"/>
      <c r="J30" s="20"/>
      <c r="K30" s="20"/>
      <c r="L30" s="36">
        <f>SUM(L23:L29)</f>
        <v>16282.531772972876</v>
      </c>
      <c r="M30" s="20"/>
      <c r="N30" s="61">
        <f t="shared" si="8"/>
        <v>1.1007991162642303</v>
      </c>
    </row>
    <row r="31" spans="1:14" ht="12.75" customHeight="1">
      <c r="A31"/>
      <c r="B31"/>
      <c r="C31"/>
      <c r="D31" s="20"/>
      <c r="E31" s="20"/>
      <c r="F31" s="20"/>
      <c r="G31" s="20"/>
      <c r="H31" s="20"/>
      <c r="I31" s="20"/>
      <c r="J31" s="20"/>
      <c r="K31" s="20"/>
      <c r="L31" s="20"/>
      <c r="M31" s="20"/>
      <c r="N31" s="61"/>
    </row>
    <row r="32" spans="1:14" ht="12.75" customHeight="1">
      <c r="A32" t="s">
        <v>358</v>
      </c>
      <c r="B32" s="11" t="s">
        <v>314</v>
      </c>
      <c r="C32" s="11" t="s">
        <v>372</v>
      </c>
      <c r="D32" s="34">
        <v>0</v>
      </c>
      <c r="E32" s="20"/>
      <c r="F32" s="36">
        <v>0</v>
      </c>
      <c r="G32" s="17"/>
      <c r="H32" s="63">
        <f t="shared" ref="H32:H38" si="9">IF(D32&lt;&gt;0,F32/D32,0)</f>
        <v>0</v>
      </c>
      <c r="I32" s="20"/>
      <c r="J32" s="39">
        <v>1.7055951497654467</v>
      </c>
      <c r="K32" s="20"/>
      <c r="L32" s="36">
        <f t="shared" ref="L32:L37" si="10">F32*J32</f>
        <v>0</v>
      </c>
      <c r="M32" s="20"/>
      <c r="N32" s="61">
        <f t="shared" ref="N32:N38" si="11">IF(D32&lt;&gt;0,L32/D32,0)</f>
        <v>0</v>
      </c>
    </row>
    <row r="33" spans="1:14" ht="12.75" customHeight="1">
      <c r="A33"/>
      <c r="B33" s="11"/>
      <c r="C33" s="11" t="s">
        <v>373</v>
      </c>
      <c r="D33" s="34">
        <v>0</v>
      </c>
      <c r="E33" s="20"/>
      <c r="F33" s="36">
        <v>0</v>
      </c>
      <c r="G33" s="17"/>
      <c r="H33" s="63">
        <f t="shared" si="9"/>
        <v>0</v>
      </c>
      <c r="I33" s="20"/>
      <c r="J33" s="39">
        <v>1.7055951497654467</v>
      </c>
      <c r="K33" s="20"/>
      <c r="L33" s="36">
        <f t="shared" si="10"/>
        <v>0</v>
      </c>
      <c r="M33" s="20"/>
      <c r="N33" s="61">
        <f t="shared" si="11"/>
        <v>0</v>
      </c>
    </row>
    <row r="34" spans="1:14" ht="12.75" customHeight="1">
      <c r="A34"/>
      <c r="B34" s="11"/>
      <c r="C34" s="11" t="s">
        <v>374</v>
      </c>
      <c r="D34" s="34">
        <v>0</v>
      </c>
      <c r="E34" s="20"/>
      <c r="F34" s="36">
        <v>0</v>
      </c>
      <c r="G34" s="17"/>
      <c r="H34" s="63">
        <f t="shared" si="9"/>
        <v>0</v>
      </c>
      <c r="I34" s="20"/>
      <c r="J34" s="39">
        <v>1.7055951497654467</v>
      </c>
      <c r="K34" s="20"/>
      <c r="L34" s="36">
        <f t="shared" si="10"/>
        <v>0</v>
      </c>
      <c r="M34" s="20"/>
      <c r="N34" s="61">
        <f t="shared" si="11"/>
        <v>0</v>
      </c>
    </row>
    <row r="35" spans="1:14" ht="12.75" customHeight="1">
      <c r="A35"/>
      <c r="B35" s="12" t="s">
        <v>366</v>
      </c>
      <c r="C35" s="12" t="s">
        <v>367</v>
      </c>
      <c r="D35" s="34">
        <v>0</v>
      </c>
      <c r="E35" s="20"/>
      <c r="F35" s="36">
        <v>0</v>
      </c>
      <c r="G35" s="17"/>
      <c r="H35" s="63">
        <f t="shared" si="9"/>
        <v>0</v>
      </c>
      <c r="I35" s="20"/>
      <c r="J35" s="39">
        <v>1.7055951497654467</v>
      </c>
      <c r="K35" s="20"/>
      <c r="L35" s="36">
        <f t="shared" si="10"/>
        <v>0</v>
      </c>
      <c r="M35" s="20"/>
      <c r="N35" s="61">
        <f t="shared" si="11"/>
        <v>0</v>
      </c>
    </row>
    <row r="36" spans="1:14" ht="12.75" customHeight="1">
      <c r="A36"/>
      <c r="B36" t="s">
        <v>133</v>
      </c>
      <c r="C36" s="11" t="s">
        <v>375</v>
      </c>
      <c r="D36" s="34">
        <v>0</v>
      </c>
      <c r="E36" s="20"/>
      <c r="F36" s="36">
        <v>0</v>
      </c>
      <c r="G36" s="17"/>
      <c r="H36" s="63">
        <f t="shared" si="9"/>
        <v>0</v>
      </c>
      <c r="I36" s="20"/>
      <c r="J36" s="39">
        <v>1.2964363113082193</v>
      </c>
      <c r="K36" s="20"/>
      <c r="L36" s="36">
        <f t="shared" si="10"/>
        <v>0</v>
      </c>
      <c r="M36" s="20"/>
      <c r="N36" s="61">
        <f t="shared" si="11"/>
        <v>0</v>
      </c>
    </row>
    <row r="37" spans="1:14" ht="12.75" customHeight="1">
      <c r="A37" s="204"/>
      <c r="B37" s="204" t="s">
        <v>133</v>
      </c>
      <c r="C37" s="238" t="s">
        <v>177</v>
      </c>
      <c r="D37" s="328">
        <v>0</v>
      </c>
      <c r="E37" s="329"/>
      <c r="F37" s="332">
        <v>0</v>
      </c>
      <c r="G37" s="106"/>
      <c r="H37" s="330">
        <f t="shared" si="9"/>
        <v>0</v>
      </c>
      <c r="I37" s="329"/>
      <c r="J37" s="331">
        <v>1.4559921991063358</v>
      </c>
      <c r="K37" s="329"/>
      <c r="L37" s="332">
        <f t="shared" si="10"/>
        <v>0</v>
      </c>
      <c r="M37" s="329"/>
      <c r="N37" s="129">
        <f t="shared" si="11"/>
        <v>0</v>
      </c>
    </row>
    <row r="38" spans="1:14" ht="12.75" customHeight="1">
      <c r="A38" s="5"/>
      <c r="B38" s="20"/>
      <c r="C38" s="20"/>
      <c r="D38" s="34">
        <v>0</v>
      </c>
      <c r="E38" s="20"/>
      <c r="F38" s="36">
        <f>SUM(F32:F37)</f>
        <v>0</v>
      </c>
      <c r="G38" s="20"/>
      <c r="H38" s="63">
        <f t="shared" si="9"/>
        <v>0</v>
      </c>
      <c r="I38" s="20"/>
      <c r="J38" s="20"/>
      <c r="K38" s="20"/>
      <c r="L38" s="36">
        <f>SUM(L31:L37)</f>
        <v>0</v>
      </c>
      <c r="M38" s="20"/>
      <c r="N38" s="61">
        <f t="shared" si="11"/>
        <v>0</v>
      </c>
    </row>
    <row r="39" spans="1:14" ht="5" customHeight="1">
      <c r="A39" s="5"/>
      <c r="B39" s="20"/>
      <c r="C39" s="20"/>
      <c r="D39" s="34"/>
      <c r="E39" s="20"/>
      <c r="F39" s="32"/>
      <c r="G39" s="20"/>
      <c r="H39" s="63"/>
      <c r="I39" s="20"/>
      <c r="J39" s="20"/>
      <c r="K39" s="20"/>
      <c r="L39" s="20"/>
      <c r="M39" s="20"/>
      <c r="N39" s="61"/>
    </row>
    <row r="40" spans="1:14" ht="12.75" customHeight="1">
      <c r="A40" s="5"/>
      <c r="B40" s="20"/>
      <c r="C40" s="243" t="s">
        <v>360</v>
      </c>
      <c r="D40" s="34">
        <f>SUM(D13,D22,D30,D38)</f>
        <v>25963.542000000001</v>
      </c>
      <c r="E40" s="20"/>
      <c r="F40" s="32">
        <f>SUM(F13,F22,F30,F38)</f>
        <v>23696.165205780668</v>
      </c>
      <c r="G40" s="20"/>
      <c r="H40" s="63">
        <f>IF(D40&lt;&gt;0,F40/D40,0)</f>
        <v>0.91267074445315155</v>
      </c>
      <c r="I40" s="20"/>
      <c r="J40" s="20"/>
      <c r="K40" s="20"/>
      <c r="L40" s="32">
        <f>SUM(L13,L22,L30,L38)</f>
        <v>31642.978395110084</v>
      </c>
      <c r="M40" s="20"/>
      <c r="N40" s="61">
        <f>IF(D40&lt;&gt;0,L40/D40,0)</f>
        <v>1.2187465945559386</v>
      </c>
    </row>
    <row r="41" spans="1:14" ht="12.75" customHeight="1">
      <c r="A41" s="5"/>
      <c r="B41" s="20"/>
      <c r="C41" s="243"/>
      <c r="D41" s="34"/>
      <c r="E41" s="20"/>
      <c r="F41" s="32"/>
      <c r="G41" s="20"/>
      <c r="H41" s="63"/>
      <c r="I41" s="20"/>
      <c r="J41" s="20"/>
      <c r="K41" s="20"/>
      <c r="L41" s="32"/>
      <c r="M41" s="20"/>
      <c r="N41" s="61"/>
    </row>
    <row r="42" spans="1:14" ht="15.75" customHeight="1">
      <c r="A42" s="117" t="s">
        <v>84</v>
      </c>
      <c r="B42" s="20"/>
      <c r="C42" s="243"/>
      <c r="D42" s="34"/>
      <c r="E42" s="20"/>
      <c r="F42" s="32"/>
      <c r="G42" s="20"/>
      <c r="H42" s="63"/>
      <c r="I42" s="20"/>
      <c r="J42" s="20"/>
      <c r="K42" s="20"/>
      <c r="L42" s="32"/>
      <c r="M42" s="20"/>
      <c r="N42" s="61"/>
    </row>
    <row r="43" spans="1:14" ht="15.75" customHeight="1">
      <c r="A43" s="117" t="s">
        <v>780</v>
      </c>
      <c r="B43" s="20"/>
      <c r="C43" s="243"/>
      <c r="D43" s="34"/>
      <c r="E43" s="20"/>
      <c r="F43" s="32"/>
      <c r="G43" s="20"/>
      <c r="H43" s="63"/>
      <c r="I43" s="20"/>
      <c r="J43" s="20"/>
      <c r="K43" s="20"/>
      <c r="L43" s="32"/>
      <c r="M43" s="20"/>
      <c r="N43" s="61"/>
    </row>
    <row r="44" spans="1:14" ht="5" customHeight="1">
      <c r="A44" s="5"/>
      <c r="B44" s="20"/>
      <c r="C44" s="243"/>
      <c r="D44" s="34"/>
      <c r="E44" s="20"/>
      <c r="F44" s="32"/>
      <c r="G44" s="20"/>
      <c r="H44" s="63"/>
      <c r="I44" s="20"/>
      <c r="J44" s="20"/>
      <c r="K44" s="20"/>
      <c r="L44" s="32"/>
      <c r="M44" s="20"/>
      <c r="N44" s="61"/>
    </row>
    <row r="45" spans="1:14" ht="12.75" customHeight="1">
      <c r="A45" s="16" t="s">
        <v>361</v>
      </c>
      <c r="B45" s="20"/>
      <c r="C45" s="243"/>
      <c r="D45" s="34"/>
      <c r="E45" s="20"/>
      <c r="F45" s="32"/>
      <c r="G45" s="20"/>
      <c r="H45" s="63"/>
      <c r="I45" s="20"/>
      <c r="J45" s="20"/>
      <c r="K45" s="20"/>
      <c r="L45" s="32"/>
      <c r="M45" s="20"/>
      <c r="N45" s="61"/>
    </row>
    <row r="46" spans="1:14" ht="25.5" customHeight="1">
      <c r="A46" s="326" t="s">
        <v>351</v>
      </c>
      <c r="B46" s="326" t="s">
        <v>352</v>
      </c>
      <c r="C46" s="327" t="s">
        <v>359</v>
      </c>
      <c r="D46" s="119" t="s">
        <v>365</v>
      </c>
      <c r="E46" s="20"/>
      <c r="F46" s="138" t="s">
        <v>244</v>
      </c>
      <c r="G46" s="119"/>
      <c r="H46" s="135" t="s">
        <v>332</v>
      </c>
      <c r="I46" s="118"/>
      <c r="J46" s="119" t="s">
        <v>241</v>
      </c>
      <c r="K46" s="118"/>
      <c r="L46" s="119" t="s">
        <v>213</v>
      </c>
      <c r="M46" s="118"/>
      <c r="N46" s="119" t="s">
        <v>333</v>
      </c>
    </row>
    <row r="47" spans="1:14" ht="12.75" customHeight="1">
      <c r="A47" t="s">
        <v>362</v>
      </c>
      <c r="B47" t="s">
        <v>133</v>
      </c>
      <c r="C47" s="11" t="s">
        <v>356</v>
      </c>
      <c r="D47" s="34">
        <v>9080.4752759906787</v>
      </c>
      <c r="E47" s="20"/>
      <c r="F47" s="36">
        <v>5398.2714084576974</v>
      </c>
      <c r="G47" s="20"/>
      <c r="H47" s="63">
        <f t="shared" ref="H47:H55" si="12">IF(D47&lt;&gt;0,F47/D47,0)</f>
        <v>0.59449216526485682</v>
      </c>
      <c r="I47" s="20"/>
      <c r="J47" s="39">
        <v>1.2964363113082193</v>
      </c>
      <c r="K47" s="20"/>
      <c r="L47" s="36">
        <f t="shared" ref="L47:L54" si="13">F47*J47</f>
        <v>6998.515072221523</v>
      </c>
      <c r="M47" s="20"/>
      <c r="N47" s="61">
        <f t="shared" ref="N47:N55" si="14">IF(D47&lt;&gt;0,L47/D47,0)</f>
        <v>0.77072122983760738</v>
      </c>
    </row>
    <row r="48" spans="1:14" ht="12.75" customHeight="1">
      <c r="A48"/>
      <c r="B48" s="12" t="s">
        <v>366</v>
      </c>
      <c r="C48" s="12" t="s">
        <v>367</v>
      </c>
      <c r="D48" s="34">
        <v>9080.4752759906787</v>
      </c>
      <c r="E48" s="20"/>
      <c r="F48" s="36">
        <v>443.91583900951935</v>
      </c>
      <c r="G48" s="20"/>
      <c r="H48" s="63">
        <f t="shared" si="12"/>
        <v>4.8886850689771652E-2</v>
      </c>
      <c r="I48" s="20"/>
      <c r="J48" s="39">
        <v>1.7055951497654467</v>
      </c>
      <c r="K48" s="20"/>
      <c r="L48" s="36">
        <f t="shared" si="13"/>
        <v>757.14070191869507</v>
      </c>
      <c r="M48" s="20"/>
      <c r="N48" s="61">
        <f t="shared" si="14"/>
        <v>8.3381175423782108E-2</v>
      </c>
    </row>
    <row r="49" spans="1:14" ht="12.75" customHeight="1">
      <c r="A49"/>
      <c r="B49" s="11" t="s">
        <v>314</v>
      </c>
      <c r="C49" s="11" t="s">
        <v>372</v>
      </c>
      <c r="D49" s="34">
        <v>9080.4752759906787</v>
      </c>
      <c r="E49" s="20"/>
      <c r="F49" s="36">
        <v>190.68350579404662</v>
      </c>
      <c r="G49" s="20"/>
      <c r="H49" s="63">
        <f t="shared" si="12"/>
        <v>2.0999286931403828E-2</v>
      </c>
      <c r="I49" s="20"/>
      <c r="J49" s="39">
        <v>1.7055951497654467</v>
      </c>
      <c r="K49" s="20"/>
      <c r="L49" s="36">
        <f t="shared" si="13"/>
        <v>325.22886262259738</v>
      </c>
      <c r="M49" s="20"/>
      <c r="N49" s="61">
        <f t="shared" si="14"/>
        <v>3.5816281938735296E-2</v>
      </c>
    </row>
    <row r="50" spans="1:14" ht="12.75" customHeight="1">
      <c r="A50"/>
      <c r="B50" s="11"/>
      <c r="C50" s="11" t="s">
        <v>373</v>
      </c>
      <c r="D50" s="34">
        <v>9080.4752759906787</v>
      </c>
      <c r="E50" s="20"/>
      <c r="F50" s="36">
        <v>643.55683205490732</v>
      </c>
      <c r="G50" s="20"/>
      <c r="H50" s="63">
        <f t="shared" si="12"/>
        <v>7.087259339348792E-2</v>
      </c>
      <c r="I50" s="20"/>
      <c r="J50" s="39">
        <v>1.7055951497654467</v>
      </c>
      <c r="K50" s="20"/>
      <c r="L50" s="36">
        <f t="shared" si="13"/>
        <v>1097.6474113512661</v>
      </c>
      <c r="M50" s="20"/>
      <c r="N50" s="61">
        <f t="shared" si="14"/>
        <v>0.12087995154323163</v>
      </c>
    </row>
    <row r="51" spans="1:14" ht="12.75" customHeight="1">
      <c r="A51"/>
      <c r="B51" s="11"/>
      <c r="C51" s="11" t="s">
        <v>374</v>
      </c>
      <c r="D51" s="34">
        <v>39.251580106451549</v>
      </c>
      <c r="E51" s="20"/>
      <c r="F51" s="36">
        <v>20.712698139760374</v>
      </c>
      <c r="G51" s="20"/>
      <c r="H51" s="63">
        <f t="shared" si="12"/>
        <v>0.52769081100905668</v>
      </c>
      <c r="I51" s="20"/>
      <c r="J51" s="39">
        <v>1.7055951497654467</v>
      </c>
      <c r="K51" s="20"/>
      <c r="L51" s="36">
        <f t="shared" si="13"/>
        <v>35.32747748573108</v>
      </c>
      <c r="M51" s="20"/>
      <c r="N51" s="61">
        <f t="shared" si="14"/>
        <v>0.90002688783284202</v>
      </c>
    </row>
    <row r="52" spans="1:14" ht="12.75" customHeight="1">
      <c r="A52"/>
      <c r="B52" s="12" t="s">
        <v>366</v>
      </c>
      <c r="C52" s="12" t="s">
        <v>367</v>
      </c>
      <c r="D52" s="34">
        <v>9080.4752759906787</v>
      </c>
      <c r="E52" s="20"/>
      <c r="F52" s="36">
        <v>31.708274214965666</v>
      </c>
      <c r="G52" s="20"/>
      <c r="H52" s="63">
        <f t="shared" si="12"/>
        <v>3.4919179064122606E-3</v>
      </c>
      <c r="I52" s="20"/>
      <c r="J52" s="39">
        <v>1.7055951497654467</v>
      </c>
      <c r="K52" s="20"/>
      <c r="L52" s="36">
        <f t="shared" si="13"/>
        <v>54.081478708478215</v>
      </c>
      <c r="M52" s="20"/>
      <c r="N52" s="61">
        <f t="shared" si="14"/>
        <v>5.9557982445558651E-3</v>
      </c>
    </row>
    <row r="53" spans="1:14" ht="12.75" customHeight="1">
      <c r="A53"/>
      <c r="B53" t="s">
        <v>133</v>
      </c>
      <c r="C53" s="11" t="s">
        <v>375</v>
      </c>
      <c r="D53" s="34">
        <v>9080.4752759906787</v>
      </c>
      <c r="E53" s="20"/>
      <c r="F53" s="36">
        <v>6747.8392605721201</v>
      </c>
      <c r="G53" s="20"/>
      <c r="H53" s="63">
        <f t="shared" si="12"/>
        <v>0.74311520658107089</v>
      </c>
      <c r="I53" s="20"/>
      <c r="J53" s="39">
        <v>1.2964363113082193</v>
      </c>
      <c r="K53" s="20"/>
      <c r="L53" s="36">
        <f t="shared" si="13"/>
        <v>8748.1438402769018</v>
      </c>
      <c r="M53" s="20"/>
      <c r="N53" s="61">
        <f t="shared" si="14"/>
        <v>0.96340153729700895</v>
      </c>
    </row>
    <row r="54" spans="1:14" ht="12.75" customHeight="1">
      <c r="A54" s="204"/>
      <c r="B54" s="204" t="s">
        <v>133</v>
      </c>
      <c r="C54" s="238" t="s">
        <v>177</v>
      </c>
      <c r="D54" s="328">
        <v>648.60537685647705</v>
      </c>
      <c r="E54" s="329"/>
      <c r="F54" s="332">
        <v>65.870152870290553</v>
      </c>
      <c r="G54" s="329"/>
      <c r="H54" s="330">
        <f t="shared" si="12"/>
        <v>0.10155659391776251</v>
      </c>
      <c r="I54" s="329"/>
      <c r="J54" s="331">
        <v>1.4559921991063358</v>
      </c>
      <c r="K54" s="329"/>
      <c r="L54" s="332">
        <f t="shared" si="13"/>
        <v>95.906428733084866</v>
      </c>
      <c r="M54" s="329"/>
      <c r="N54" s="129">
        <f t="shared" si="14"/>
        <v>0.14786560851207217</v>
      </c>
    </row>
    <row r="55" spans="1:14" ht="12.75" customHeight="1">
      <c r="A55"/>
      <c r="B55"/>
      <c r="C55"/>
      <c r="D55" s="34">
        <v>9080.4752759906787</v>
      </c>
      <c r="E55" s="20"/>
      <c r="F55" s="32">
        <f>SUM(F47:F54)</f>
        <v>13542.557971113309</v>
      </c>
      <c r="G55" s="20"/>
      <c r="H55" s="63">
        <f t="shared" si="12"/>
        <v>1.4913930779505169</v>
      </c>
      <c r="I55" s="20"/>
      <c r="J55" s="20"/>
      <c r="K55" s="20"/>
      <c r="L55" s="32">
        <f>SUM(L47:L54)</f>
        <v>18111.991273318279</v>
      </c>
      <c r="M55" s="20"/>
      <c r="N55" s="61">
        <f t="shared" si="14"/>
        <v>1.9946082911769465</v>
      </c>
    </row>
    <row r="56" spans="1:14" ht="12.75" customHeight="1">
      <c r="A56"/>
      <c r="B56"/>
      <c r="C56"/>
      <c r="D56" s="34"/>
      <c r="E56" s="20"/>
      <c r="F56" s="32"/>
      <c r="G56" s="20"/>
      <c r="H56" s="63"/>
      <c r="I56" s="20"/>
      <c r="J56" s="20"/>
      <c r="K56" s="20"/>
      <c r="L56" s="32"/>
      <c r="M56" s="20"/>
      <c r="N56" s="61"/>
    </row>
    <row r="57" spans="1:14" ht="12.75" customHeight="1">
      <c r="A57" s="11" t="s">
        <v>363</v>
      </c>
      <c r="B57" t="s">
        <v>133</v>
      </c>
      <c r="C57" s="11" t="s">
        <v>356</v>
      </c>
      <c r="D57" s="34">
        <v>901.47524196666143</v>
      </c>
      <c r="E57" s="20"/>
      <c r="F57" s="36">
        <v>535.91996852942123</v>
      </c>
      <c r="G57" s="20"/>
      <c r="H57" s="63">
        <f t="shared" ref="H57:H65" si="15">IF(D57&lt;&gt;0,F57/D57,0)</f>
        <v>0.59449216526485671</v>
      </c>
      <c r="I57" s="20"/>
      <c r="J57" s="39">
        <v>1.2964363113082193</v>
      </c>
      <c r="K57" s="20"/>
      <c r="L57" s="36">
        <f t="shared" ref="L57:L64" si="16">F57*J57</f>
        <v>694.78610715669981</v>
      </c>
      <c r="M57" s="20"/>
      <c r="N57" s="61">
        <f t="shared" ref="N57:N65" si="17">IF(D57&lt;&gt;0,L57/D57,0)</f>
        <v>0.77072122983760716</v>
      </c>
    </row>
    <row r="58" spans="1:14" ht="12.75" customHeight="1">
      <c r="A58" s="11"/>
      <c r="B58" s="12" t="s">
        <v>366</v>
      </c>
      <c r="C58" s="12" t="s">
        <v>367</v>
      </c>
      <c r="D58" s="34">
        <v>901.47524196666143</v>
      </c>
      <c r="E58" s="20"/>
      <c r="F58" s="36">
        <v>44.070285554549947</v>
      </c>
      <c r="G58" s="20"/>
      <c r="H58" s="63">
        <f t="shared" si="15"/>
        <v>4.8886850689771652E-2</v>
      </c>
      <c r="I58" s="20"/>
      <c r="J58" s="39">
        <v>1.7055951497654467</v>
      </c>
      <c r="K58" s="20"/>
      <c r="L58" s="36">
        <f t="shared" si="16"/>
        <v>75.166065290618619</v>
      </c>
      <c r="M58" s="20"/>
      <c r="N58" s="61">
        <f t="shared" si="17"/>
        <v>8.3381175423782108E-2</v>
      </c>
    </row>
    <row r="59" spans="1:14" ht="12.75" customHeight="1">
      <c r="A59"/>
      <c r="B59" s="11" t="s">
        <v>314</v>
      </c>
      <c r="C59" s="11" t="s">
        <v>372</v>
      </c>
      <c r="D59" s="34">
        <v>901.47524196666143</v>
      </c>
      <c r="E59" s="20"/>
      <c r="F59" s="36">
        <v>18.930337267614615</v>
      </c>
      <c r="G59" s="20"/>
      <c r="H59" s="63">
        <f t="shared" si="15"/>
        <v>2.0999286931403825E-2</v>
      </c>
      <c r="I59" s="20"/>
      <c r="J59" s="39">
        <v>1.7055951497654467</v>
      </c>
      <c r="K59" s="20"/>
      <c r="L59" s="36">
        <f t="shared" si="16"/>
        <v>32.287491427067565</v>
      </c>
      <c r="M59" s="20"/>
      <c r="N59" s="61">
        <f t="shared" si="17"/>
        <v>3.5816281938735296E-2</v>
      </c>
    </row>
    <row r="60" spans="1:14" ht="12.75" customHeight="1">
      <c r="A60"/>
      <c r="B60" s="11"/>
      <c r="C60" s="11" t="s">
        <v>373</v>
      </c>
      <c r="D60" s="34">
        <v>901.47524196666143</v>
      </c>
      <c r="E60" s="20"/>
      <c r="F60" s="36">
        <v>63.889888278199329</v>
      </c>
      <c r="G60" s="20"/>
      <c r="H60" s="63">
        <f t="shared" si="15"/>
        <v>7.087259339348792E-2</v>
      </c>
      <c r="I60" s="20"/>
      <c r="J60" s="39">
        <v>1.7055951497654467</v>
      </c>
      <c r="K60" s="20"/>
      <c r="L60" s="36">
        <f t="shared" si="16"/>
        <v>108.97028356635305</v>
      </c>
      <c r="M60" s="20"/>
      <c r="N60" s="61">
        <f t="shared" si="17"/>
        <v>0.12087995154323164</v>
      </c>
    </row>
    <row r="61" spans="1:14" ht="12.75" customHeight="1">
      <c r="A61"/>
      <c r="B61" s="11"/>
      <c r="C61" s="11" t="s">
        <v>374</v>
      </c>
      <c r="D61" s="34">
        <v>3.8967484188405304</v>
      </c>
      <c r="E61" s="20"/>
      <c r="F61" s="36">
        <v>2.0562783334362189</v>
      </c>
      <c r="G61" s="20"/>
      <c r="H61" s="63">
        <f t="shared" si="15"/>
        <v>0.52769081100905668</v>
      </c>
      <c r="I61" s="20"/>
      <c r="J61" s="39">
        <v>1.7055951497654467</v>
      </c>
      <c r="K61" s="20"/>
      <c r="L61" s="36">
        <f t="shared" si="16"/>
        <v>3.5071783520765911</v>
      </c>
      <c r="M61" s="20"/>
      <c r="N61" s="61">
        <f t="shared" si="17"/>
        <v>0.90002688783284213</v>
      </c>
    </row>
    <row r="62" spans="1:14" ht="12.75" customHeight="1">
      <c r="A62"/>
      <c r="B62" s="12" t="s">
        <v>366</v>
      </c>
      <c r="C62" s="12" t="s">
        <v>367</v>
      </c>
      <c r="D62" s="34">
        <v>901.47524196666143</v>
      </c>
      <c r="E62" s="20"/>
      <c r="F62" s="36">
        <v>3.1478775396107106</v>
      </c>
      <c r="G62" s="20"/>
      <c r="H62" s="63">
        <f t="shared" si="15"/>
        <v>3.491917906412261E-3</v>
      </c>
      <c r="I62" s="20"/>
      <c r="J62" s="39">
        <v>1.7055951497654467</v>
      </c>
      <c r="K62" s="20"/>
      <c r="L62" s="36">
        <f t="shared" si="16"/>
        <v>5.3690046636156161</v>
      </c>
      <c r="M62" s="20"/>
      <c r="N62" s="61">
        <f t="shared" si="17"/>
        <v>5.9557982445558651E-3</v>
      </c>
    </row>
    <row r="63" spans="1:14" ht="12.75" customHeight="1">
      <c r="A63"/>
      <c r="B63" t="s">
        <v>133</v>
      </c>
      <c r="C63" s="11" t="s">
        <v>375</v>
      </c>
      <c r="D63" s="34">
        <v>901.47524196666143</v>
      </c>
      <c r="E63" s="20"/>
      <c r="F63" s="36">
        <v>669.8999606617765</v>
      </c>
      <c r="G63" s="20"/>
      <c r="H63" s="63">
        <f t="shared" si="15"/>
        <v>0.74311520658107089</v>
      </c>
      <c r="I63" s="20"/>
      <c r="J63" s="39">
        <v>1.2964363113082193</v>
      </c>
      <c r="K63" s="20"/>
      <c r="L63" s="36">
        <f t="shared" si="16"/>
        <v>868.4826339458748</v>
      </c>
      <c r="M63" s="20"/>
      <c r="N63" s="61">
        <f t="shared" si="17"/>
        <v>0.96340153729700906</v>
      </c>
    </row>
    <row r="64" spans="1:14" ht="12.75" customHeight="1">
      <c r="A64" s="204"/>
      <c r="B64" s="204" t="s">
        <v>133</v>
      </c>
      <c r="C64" s="238" t="s">
        <v>177</v>
      </c>
      <c r="D64" s="328">
        <v>64.391088711904388</v>
      </c>
      <c r="E64" s="329"/>
      <c r="F64" s="332">
        <v>6.5393396482374957</v>
      </c>
      <c r="G64" s="329"/>
      <c r="H64" s="330">
        <f t="shared" si="15"/>
        <v>0.10155659391776252</v>
      </c>
      <c r="I64" s="329"/>
      <c r="J64" s="331">
        <v>1.4559921991063358</v>
      </c>
      <c r="K64" s="329"/>
      <c r="L64" s="332">
        <f t="shared" si="16"/>
        <v>9.5212275151405645</v>
      </c>
      <c r="M64" s="329"/>
      <c r="N64" s="129">
        <f t="shared" si="17"/>
        <v>0.14786560851207217</v>
      </c>
    </row>
    <row r="65" spans="1:14" ht="12.75" customHeight="1">
      <c r="A65" s="5"/>
      <c r="B65" s="20"/>
      <c r="C65" s="243"/>
      <c r="D65" s="34">
        <v>901.47524196666143</v>
      </c>
      <c r="E65" s="20"/>
      <c r="F65" s="32">
        <f>SUM(F57:F64)</f>
        <v>1344.4539358128461</v>
      </c>
      <c r="G65" s="20"/>
      <c r="H65" s="63">
        <f t="shared" si="15"/>
        <v>1.4913930779505169</v>
      </c>
      <c r="I65" s="20"/>
      <c r="J65" s="20"/>
      <c r="K65" s="20"/>
      <c r="L65" s="32">
        <f>SUM(L57:L64)</f>
        <v>1798.0899919174465</v>
      </c>
      <c r="M65" s="20"/>
      <c r="N65" s="61">
        <f t="shared" si="17"/>
        <v>1.994608291176946</v>
      </c>
    </row>
    <row r="66" spans="1:14" ht="5" customHeight="1">
      <c r="A66" s="5"/>
      <c r="B66" s="20"/>
      <c r="C66" s="20"/>
      <c r="D66" s="20"/>
      <c r="E66" s="20"/>
      <c r="F66" s="20"/>
      <c r="G66" s="20"/>
      <c r="H66" s="20"/>
      <c r="I66" s="20"/>
      <c r="J66" s="20"/>
      <c r="K66" s="20"/>
      <c r="L66" s="20"/>
      <c r="M66" s="20"/>
      <c r="N66" s="61"/>
    </row>
    <row r="67" spans="1:14" ht="12.75" customHeight="1">
      <c r="A67" s="5"/>
      <c r="B67" s="20"/>
      <c r="C67" s="20" t="s">
        <v>364</v>
      </c>
      <c r="D67" s="34">
        <f>SUM(D55,D65)</f>
        <v>9981.9505179573407</v>
      </c>
      <c r="E67" s="20"/>
      <c r="F67" s="36">
        <f>SUM(F55,F65)</f>
        <v>14887.011906926155</v>
      </c>
      <c r="G67" s="20"/>
      <c r="H67" s="63">
        <f>IF(D67&lt;&gt;0,F67/D67,0)</f>
        <v>1.4913930779505169</v>
      </c>
      <c r="I67" s="20"/>
      <c r="J67" s="20"/>
      <c r="K67" s="20"/>
      <c r="L67" s="36">
        <f>SUM(L55,L65)</f>
        <v>19910.081265235727</v>
      </c>
      <c r="M67" s="20"/>
      <c r="N67" s="61">
        <f>IF(D67&lt;&gt;0,L67/D67,0)</f>
        <v>1.9946082911769465</v>
      </c>
    </row>
    <row r="68" spans="1:14" ht="12.75" customHeight="1">
      <c r="A68" s="5"/>
      <c r="B68" s="20"/>
      <c r="C68" s="20"/>
      <c r="D68" s="34"/>
      <c r="E68" s="20"/>
      <c r="F68" s="36"/>
      <c r="G68" s="20"/>
      <c r="H68" s="63"/>
      <c r="I68" s="20"/>
      <c r="J68" s="20"/>
      <c r="K68" s="20"/>
      <c r="L68" s="36"/>
      <c r="M68" s="20"/>
      <c r="N68" s="61"/>
    </row>
    <row r="69" spans="1:14" ht="15.75" customHeight="1">
      <c r="A69" s="117" t="s">
        <v>85</v>
      </c>
      <c r="B69" s="20"/>
      <c r="C69" s="20"/>
      <c r="D69" s="34"/>
      <c r="E69" s="20"/>
      <c r="F69" s="36"/>
      <c r="G69" s="20"/>
      <c r="H69" s="63"/>
      <c r="I69" s="20"/>
      <c r="J69" s="20"/>
      <c r="K69" s="20"/>
      <c r="L69" s="36"/>
      <c r="M69" s="20"/>
      <c r="N69" s="61"/>
    </row>
    <row r="70" spans="1:14" ht="15.75" customHeight="1">
      <c r="A70" s="117" t="s">
        <v>780</v>
      </c>
      <c r="B70" s="20"/>
      <c r="C70" s="20"/>
      <c r="D70" s="34"/>
      <c r="E70" s="20"/>
      <c r="F70" s="36"/>
      <c r="G70" s="20"/>
      <c r="H70" s="63"/>
      <c r="I70" s="20"/>
      <c r="J70" s="20"/>
      <c r="K70" s="20"/>
      <c r="L70" s="36"/>
      <c r="M70" s="20"/>
      <c r="N70" s="61"/>
    </row>
    <row r="71" spans="1:14" ht="5" customHeight="1">
      <c r="A71" s="5"/>
      <c r="B71" s="20"/>
      <c r="C71" s="20"/>
      <c r="D71" s="20"/>
      <c r="E71" s="20"/>
      <c r="F71" s="20"/>
      <c r="G71" s="20"/>
      <c r="H71" s="20"/>
      <c r="I71" s="20"/>
      <c r="J71" s="20"/>
      <c r="K71" s="20"/>
      <c r="L71" s="20"/>
      <c r="M71" s="20"/>
      <c r="N71" s="61"/>
    </row>
    <row r="72" spans="1:14" ht="12.75" customHeight="1">
      <c r="A72" s="14" t="s">
        <v>529</v>
      </c>
      <c r="B72" s="20"/>
      <c r="C72" s="243"/>
      <c r="D72" s="34"/>
      <c r="E72" s="20"/>
      <c r="F72" s="32"/>
      <c r="G72" s="20"/>
      <c r="H72" s="63"/>
      <c r="I72" s="20"/>
      <c r="J72" s="20"/>
      <c r="K72" s="20"/>
      <c r="L72" s="32"/>
      <c r="M72" s="20"/>
      <c r="N72" s="61"/>
    </row>
    <row r="73" spans="1:14" ht="25.5" customHeight="1">
      <c r="A73" s="326" t="s">
        <v>351</v>
      </c>
      <c r="B73" s="326" t="s">
        <v>352</v>
      </c>
      <c r="C73" s="327" t="s">
        <v>359</v>
      </c>
      <c r="D73" s="119" t="s">
        <v>365</v>
      </c>
      <c r="E73" s="20"/>
      <c r="F73" s="138" t="s">
        <v>244</v>
      </c>
      <c r="G73" s="119"/>
      <c r="H73" s="135" t="s">
        <v>332</v>
      </c>
      <c r="I73" s="118"/>
      <c r="J73" s="119" t="s">
        <v>241</v>
      </c>
      <c r="K73" s="118"/>
      <c r="L73" s="119" t="s">
        <v>213</v>
      </c>
      <c r="M73" s="118"/>
      <c r="N73" s="119" t="s">
        <v>333</v>
      </c>
    </row>
    <row r="74" spans="1:14" ht="12.75" customHeight="1">
      <c r="A74" s="4" t="s">
        <v>420</v>
      </c>
      <c r="B74" s="2" t="s">
        <v>523</v>
      </c>
      <c r="C74" s="4" t="s">
        <v>528</v>
      </c>
      <c r="D74" s="34">
        <f>'Table 3.26-REC Detail NonACS'!E43</f>
        <v>25963.542000000001</v>
      </c>
      <c r="E74" s="17" t="s">
        <v>234</v>
      </c>
      <c r="F74" s="36">
        <f>'Table 3.26-REC Detail NonACS'!F43</f>
        <v>11156.433282822012</v>
      </c>
      <c r="G74" s="17" t="s">
        <v>234</v>
      </c>
      <c r="H74" s="63">
        <f>IF(D74&lt;&gt;0,F74/D74,0)</f>
        <v>0.42969612092302395</v>
      </c>
      <c r="I74" s="20"/>
      <c r="J74" s="56">
        <f>'Table 3.26-REC Detail NonACS'!I43</f>
        <v>1.2615773174013249</v>
      </c>
      <c r="K74" s="20"/>
      <c r="L74" s="36">
        <f>F74*J74</f>
        <v>14074.703172709451</v>
      </c>
      <c r="M74" s="20"/>
      <c r="N74" s="61">
        <f>IF(D74&lt;&gt;0,L74/D74,0)</f>
        <v>0.54209487953182389</v>
      </c>
    </row>
    <row r="75" spans="1:14" ht="12.75" customHeight="1">
      <c r="A75" s="4" t="s">
        <v>421</v>
      </c>
      <c r="B75" s="2" t="s">
        <v>523</v>
      </c>
      <c r="C75" s="4" t="s">
        <v>528</v>
      </c>
      <c r="D75" s="34">
        <f>'Table 3.26-REC Detail NonACS'!E44</f>
        <v>9981.9505179573389</v>
      </c>
      <c r="E75" s="17" t="s">
        <v>234</v>
      </c>
      <c r="F75" s="36">
        <f>'Table 3.26-REC Detail NonACS'!F44</f>
        <v>4289.2054168118393</v>
      </c>
      <c r="G75" s="17" t="s">
        <v>234</v>
      </c>
      <c r="H75" s="63">
        <f>IF(D75&lt;&gt;0,F75/D75,0)</f>
        <v>0.42969612092302406</v>
      </c>
      <c r="I75" s="20"/>
      <c r="J75" s="56">
        <f>'Table 3.26-REC Detail NonACS'!I44</f>
        <v>1.2615773174013249</v>
      </c>
      <c r="K75" s="20"/>
      <c r="L75" s="36">
        <f>F75*J75</f>
        <v>5411.1642635247117</v>
      </c>
      <c r="M75" s="20"/>
      <c r="N75" s="61">
        <f>IF(D75&lt;&gt;0,L75/D75,0)</f>
        <v>0.542094879531824</v>
      </c>
    </row>
    <row r="76" spans="1:14" ht="12.75" customHeight="1">
      <c r="B76" s="2"/>
      <c r="D76" s="34"/>
      <c r="E76" s="20"/>
      <c r="F76" s="36"/>
      <c r="G76" s="20"/>
      <c r="H76" s="63"/>
      <c r="I76" s="20"/>
      <c r="J76" s="56"/>
      <c r="K76" s="20"/>
      <c r="L76" s="36"/>
      <c r="M76" s="20"/>
      <c r="N76" s="61"/>
    </row>
    <row r="77" spans="1:14" ht="12.75" customHeight="1">
      <c r="A77" s="5"/>
      <c r="B77" s="20"/>
      <c r="C77" s="243" t="s">
        <v>530</v>
      </c>
      <c r="D77" s="34">
        <f>D74</f>
        <v>25963.542000000001</v>
      </c>
      <c r="E77" s="20"/>
      <c r="F77" s="36">
        <f>SUM(F74:F75)</f>
        <v>15445.638699633852</v>
      </c>
      <c r="G77" s="20"/>
      <c r="H77" s="63"/>
      <c r="I77" s="20"/>
      <c r="J77" s="20"/>
      <c r="K77" s="20"/>
      <c r="L77" s="36">
        <f>SUM(L74:L75)</f>
        <v>19485.867436234163</v>
      </c>
      <c r="M77" s="20"/>
      <c r="N77" s="61">
        <f>IF(D77&lt;&gt;0,L77/D77,0)</f>
        <v>0.75050882642415129</v>
      </c>
    </row>
    <row r="78" spans="1:14" ht="12.75" customHeight="1">
      <c r="A78" s="5"/>
      <c r="B78" s="20"/>
      <c r="C78" s="20"/>
      <c r="D78" s="20"/>
      <c r="E78" s="20"/>
      <c r="F78" s="20"/>
      <c r="G78" s="20"/>
      <c r="H78" s="20"/>
      <c r="I78" s="20"/>
      <c r="J78" s="20"/>
      <c r="K78" s="20"/>
      <c r="L78" s="20"/>
      <c r="M78" s="20"/>
      <c r="N78" s="61"/>
    </row>
    <row r="79" spans="1:14" ht="12.75" customHeight="1">
      <c r="A79" s="5"/>
      <c r="B79" s="20"/>
      <c r="C79" s="5" t="s">
        <v>264</v>
      </c>
      <c r="D79" s="34">
        <f>D40</f>
        <v>25963.542000000001</v>
      </c>
      <c r="E79" s="20"/>
      <c r="F79" s="36">
        <f>SUM(F40,F67,F77)</f>
        <v>54028.815812340676</v>
      </c>
      <c r="G79" s="20"/>
      <c r="H79" s="63">
        <f>IF(D79&lt;&gt;0,F79/D79,0)</f>
        <v>2.0809493486035406</v>
      </c>
      <c r="I79" s="20"/>
      <c r="J79" s="20"/>
      <c r="K79" s="20"/>
      <c r="L79" s="36">
        <f>SUM(L40,L67,L77)</f>
        <v>71038.927096579981</v>
      </c>
      <c r="M79" s="20"/>
      <c r="N79" s="61">
        <f>IF(D79&lt;&gt;0,L79/D79,0)</f>
        <v>2.7361030747106838</v>
      </c>
    </row>
    <row r="80" spans="1:14" hidden="1">
      <c r="A80" s="5"/>
      <c r="B80" s="20"/>
      <c r="C80" s="20"/>
      <c r="D80" s="20"/>
      <c r="E80" s="20"/>
      <c r="F80" s="20"/>
      <c r="G80" s="20"/>
      <c r="H80" s="20"/>
      <c r="J80" s="20"/>
      <c r="N80" s="61"/>
    </row>
    <row r="81" spans="1:14" hidden="1">
      <c r="B81" s="254"/>
      <c r="C81" s="93" t="s">
        <v>183</v>
      </c>
      <c r="D81" s="102">
        <v>0</v>
      </c>
      <c r="F81" s="102">
        <v>0</v>
      </c>
      <c r="G81" s="254"/>
      <c r="H81" s="102">
        <v>0</v>
      </c>
      <c r="N81" s="43"/>
    </row>
    <row r="82" spans="1:14" hidden="1">
      <c r="B82" s="254"/>
      <c r="C82" s="93" t="s">
        <v>183</v>
      </c>
      <c r="D82" s="102">
        <v>0</v>
      </c>
      <c r="F82" s="102">
        <v>0</v>
      </c>
      <c r="G82" s="254"/>
      <c r="H82" s="102">
        <v>0</v>
      </c>
      <c r="N82" s="43"/>
    </row>
    <row r="83" spans="1:14" hidden="1">
      <c r="B83" s="254"/>
      <c r="C83" s="93" t="s">
        <v>183</v>
      </c>
      <c r="D83" s="102">
        <v>0</v>
      </c>
      <c r="F83" s="102">
        <v>0</v>
      </c>
      <c r="G83" s="254"/>
      <c r="H83" s="257"/>
      <c r="N83" s="43"/>
    </row>
    <row r="84" spans="1:14">
      <c r="A84" s="103"/>
      <c r="B84" s="103"/>
      <c r="C84" s="103"/>
    </row>
    <row r="85" spans="1:14">
      <c r="A85" s="4" t="s">
        <v>230</v>
      </c>
    </row>
    <row r="86" spans="1:14">
      <c r="A86" s="419" t="s">
        <v>789</v>
      </c>
      <c r="B86"/>
      <c r="C86"/>
      <c r="D86" s="17"/>
      <c r="E86" s="62"/>
    </row>
    <row r="87" spans="1:14" ht="12.75" customHeight="1">
      <c r="A87" s="17" t="s">
        <v>788</v>
      </c>
      <c r="D87" s="17"/>
      <c r="H87" s="57"/>
    </row>
    <row r="88" spans="1:14" ht="12.75" customHeight="1">
      <c r="A88" s="423" t="s">
        <v>89</v>
      </c>
      <c r="B88" s="424"/>
      <c r="C88" s="424"/>
    </row>
    <row r="89" spans="1:14">
      <c r="H89" s="57"/>
    </row>
  </sheetData>
  <mergeCells count="1">
    <mergeCell ref="A88:C88"/>
  </mergeCells>
  <phoneticPr fontId="0" type="noConversion"/>
  <printOptions horizontalCentered="1"/>
  <pageMargins left="0.75" right="0.75" top="1" bottom="1" header="0.5" footer="0.5"/>
  <pageSetup scale="87" fitToHeight="2" orientation="landscape" r:id="rId1"/>
  <headerFooter alignWithMargins="0">
    <oddFooter>&amp;L&amp;F</oddFooter>
  </headerFooter>
  <rowBreaks count="2" manualBreakCount="2">
    <brk id="41" max="13" man="1"/>
    <brk id="68" max="13"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5"/>
  <dimension ref="A1:R124"/>
  <sheetViews>
    <sheetView zoomScale="70" zoomScaleNormal="70" workbookViewId="0"/>
  </sheetViews>
  <sheetFormatPr baseColWidth="10" defaultColWidth="9.1640625" defaultRowHeight="13"/>
  <cols>
    <col min="1" max="1" width="43.5" style="4" customWidth="1"/>
    <col min="2" max="2" width="11.5" style="47" customWidth="1"/>
    <col min="3" max="3" width="11.5" style="29" customWidth="1"/>
    <col min="4" max="4" width="11.5" style="24" customWidth="1"/>
    <col min="5" max="5" width="2.5" style="24" customWidth="1"/>
    <col min="6" max="6" width="11.5" style="28" customWidth="1"/>
    <col min="7" max="7" width="2.5" style="2" customWidth="1"/>
    <col min="8" max="8" width="11.5" style="4" customWidth="1"/>
    <col min="9" max="9" width="2.5" style="2" customWidth="1"/>
    <col min="10" max="10" width="11.5" style="2" customWidth="1"/>
    <col min="11" max="11" width="11.5" style="28" customWidth="1"/>
    <col min="12" max="12" width="9.1640625" style="4"/>
    <col min="13" max="13" width="11.5" style="4" customWidth="1"/>
    <col min="14" max="14" width="11.1640625" style="4" hidden="1" customWidth="1"/>
    <col min="15" max="18" width="0" style="4" hidden="1" customWidth="1"/>
    <col min="19" max="16384" width="9.1640625" style="4"/>
  </cols>
  <sheetData>
    <row r="1" spans="1:16" ht="15.75" customHeight="1">
      <c r="A1" s="117" t="s">
        <v>57</v>
      </c>
    </row>
    <row r="2" spans="1:16" ht="15.75" customHeight="1">
      <c r="A2" s="117" t="s">
        <v>780</v>
      </c>
    </row>
    <row r="3" spans="1:16" ht="28">
      <c r="B3" s="138" t="s">
        <v>243</v>
      </c>
      <c r="C3" s="107" t="s">
        <v>244</v>
      </c>
      <c r="D3" s="125" t="s">
        <v>245</v>
      </c>
      <c r="E3" s="125"/>
      <c r="F3" s="126" t="s">
        <v>202</v>
      </c>
      <c r="G3" s="118"/>
      <c r="H3" s="119" t="s">
        <v>241</v>
      </c>
      <c r="I3" s="118"/>
      <c r="J3" s="138" t="s">
        <v>105</v>
      </c>
      <c r="K3" s="31" t="s">
        <v>128</v>
      </c>
    </row>
    <row r="4" spans="1:16">
      <c r="A4" s="14" t="s">
        <v>278</v>
      </c>
    </row>
    <row r="5" spans="1:16" ht="5" customHeight="1">
      <c r="A5" s="16"/>
    </row>
    <row r="6" spans="1:16">
      <c r="A6" s="60" t="s">
        <v>270</v>
      </c>
      <c r="B6" s="42"/>
      <c r="C6" s="36"/>
      <c r="D6" s="30"/>
      <c r="E6" s="30"/>
      <c r="F6" s="31"/>
      <c r="G6" s="33"/>
      <c r="H6" s="39"/>
      <c r="I6" s="49"/>
      <c r="J6" s="49"/>
      <c r="K6" s="31"/>
    </row>
    <row r="7" spans="1:16">
      <c r="A7" s="245" t="s">
        <v>130</v>
      </c>
      <c r="B7" s="34">
        <v>724.81343445601794</v>
      </c>
      <c r="C7" s="36">
        <v>33397.038393385912</v>
      </c>
      <c r="D7" s="34">
        <v>488414.86343780009</v>
      </c>
      <c r="E7" s="34"/>
      <c r="F7" s="61">
        <f>C7/D7</f>
        <v>6.8378423535914862E-2</v>
      </c>
      <c r="G7" s="118"/>
      <c r="H7" s="39">
        <v>1.3010789984537243</v>
      </c>
      <c r="I7" s="39"/>
      <c r="J7" s="36">
        <f>C7*H7</f>
        <v>43452.185264187123</v>
      </c>
      <c r="K7" s="61">
        <f>F7*(H7)</f>
        <v>8.8965730809952681E-2</v>
      </c>
      <c r="N7" s="102">
        <f>B7-'Table 3.15-Route UAA NoPARS'!B7-'Table 3.16-Route UAA PARS'!B7</f>
        <v>0</v>
      </c>
      <c r="O7" s="102">
        <f>C7-'Table 3.15-Route UAA NoPARS'!C7-'Table 3.16-Route UAA PARS'!C7</f>
        <v>0</v>
      </c>
      <c r="P7" s="102">
        <f>D7-'Table 3.15-Route UAA NoPARS'!D7-'Table 3.16-Route UAA PARS'!D7</f>
        <v>0</v>
      </c>
    </row>
    <row r="8" spans="1:16" ht="12.75" customHeight="1">
      <c r="A8" s="246" t="s">
        <v>131</v>
      </c>
      <c r="B8" s="34">
        <v>258.70191910957601</v>
      </c>
      <c r="C8" s="36">
        <v>6745.3964205396214</v>
      </c>
      <c r="D8" s="34">
        <v>182467.59333357247</v>
      </c>
      <c r="E8" s="34"/>
      <c r="F8" s="61">
        <f>C8/D8</f>
        <v>3.696764064952747E-2</v>
      </c>
      <c r="G8" s="118"/>
      <c r="H8" s="39">
        <v>1.2077066130157168</v>
      </c>
      <c r="I8" s="39"/>
      <c r="J8" s="36">
        <f>C8*H8</f>
        <v>8146.4598644982461</v>
      </c>
      <c r="K8" s="61">
        <f>F8*(H8)</f>
        <v>4.4646064080022953E-2</v>
      </c>
      <c r="N8" s="102">
        <f>B8-'Table 3.15-Route UAA NoPARS'!B8-'Table 3.16-Route UAA PARS'!B8</f>
        <v>0</v>
      </c>
      <c r="O8" s="102">
        <f>C8-'Table 3.15-Route UAA NoPARS'!C8-'Table 3.16-Route UAA PARS'!C8</f>
        <v>0</v>
      </c>
      <c r="P8" s="102">
        <f>D8-'Table 3.15-Route UAA NoPARS'!D8-'Table 3.16-Route UAA PARS'!D8</f>
        <v>0</v>
      </c>
    </row>
    <row r="9" spans="1:16">
      <c r="A9" s="245" t="s">
        <v>132</v>
      </c>
      <c r="B9" s="34">
        <v>194.48153896985951</v>
      </c>
      <c r="C9" s="36">
        <v>6788.3520213405664</v>
      </c>
      <c r="D9" s="34">
        <v>132501.64655263629</v>
      </c>
      <c r="E9" s="34"/>
      <c r="F9" s="61">
        <f>C9/D9</f>
        <v>5.1232208791034857E-2</v>
      </c>
      <c r="G9" s="118"/>
      <c r="H9" s="39">
        <v>1.4559921991063358</v>
      </c>
      <c r="I9" s="20"/>
      <c r="J9" s="36">
        <f>C9*H9</f>
        <v>9883.7875878595914</v>
      </c>
      <c r="K9" s="61">
        <f>F9*(H9)</f>
        <v>7.4593696342733787E-2</v>
      </c>
      <c r="N9" s="102">
        <f>B9-'Table 3.15-Route UAA NoPARS'!B9-'Table 3.16-Route UAA PARS'!B9</f>
        <v>0</v>
      </c>
      <c r="O9" s="102">
        <f>C9-'Table 3.15-Route UAA NoPARS'!C9-'Table 3.16-Route UAA PARS'!C9</f>
        <v>0</v>
      </c>
      <c r="P9" s="102">
        <f>D9-'Table 3.15-Route UAA NoPARS'!D9-'Table 3.16-Route UAA PARS'!D9</f>
        <v>0</v>
      </c>
    </row>
    <row r="10" spans="1:16">
      <c r="A10" s="245" t="s">
        <v>102</v>
      </c>
      <c r="B10" s="34">
        <v>5.3617546378778309</v>
      </c>
      <c r="C10" s="36">
        <v>236.8576558301084</v>
      </c>
      <c r="D10" s="34">
        <v>3728.1274768285034</v>
      </c>
      <c r="E10" s="34"/>
      <c r="F10" s="61">
        <f>C10/D10</f>
        <v>6.3532606463232277E-2</v>
      </c>
      <c r="G10" s="118"/>
      <c r="H10" s="39">
        <v>1.2077066130157168</v>
      </c>
      <c r="I10" s="39"/>
      <c r="J10" s="36">
        <f>C10*H10</f>
        <v>286.05455728942258</v>
      </c>
      <c r="K10" s="61">
        <f>F10*(H10)</f>
        <v>7.6728748967770696E-2</v>
      </c>
      <c r="N10" s="102">
        <f>B10-'Table 3.15-Route UAA NoPARS'!B10-'Table 3.16-Route UAA PARS'!B10</f>
        <v>0</v>
      </c>
      <c r="O10" s="102">
        <f>C10-'Table 3.15-Route UAA NoPARS'!C10-'Table 3.16-Route UAA PARS'!C10</f>
        <v>0</v>
      </c>
      <c r="P10" s="102">
        <f>D10-'Table 3.15-Route UAA NoPARS'!D10-'Table 3.16-Route UAA PARS'!D10</f>
        <v>0</v>
      </c>
    </row>
    <row r="11" spans="1:16">
      <c r="A11" s="245" t="s">
        <v>272</v>
      </c>
      <c r="B11" s="34">
        <f>SUM(B7:B10)</f>
        <v>1183.3586471733313</v>
      </c>
      <c r="C11" s="36">
        <f>SUM(C7:C10)</f>
        <v>47167.644491096202</v>
      </c>
      <c r="D11" s="34">
        <f>SUM(D7:D10)</f>
        <v>807112.23080083739</v>
      </c>
      <c r="E11" s="34"/>
      <c r="F11" s="61">
        <f>C11/D11</f>
        <v>5.8440007090829561E-2</v>
      </c>
      <c r="G11" s="118"/>
      <c r="H11" s="39"/>
      <c r="I11" s="39"/>
      <c r="J11" s="36">
        <f>SUM(J7:J10)</f>
        <v>61768.487273834391</v>
      </c>
      <c r="K11" s="61">
        <f>SUMPRODUCT(K7:K10,D7:D10)/D11</f>
        <v>7.6530233239739301E-2</v>
      </c>
      <c r="L11" s="62"/>
      <c r="N11" s="102">
        <f>B11-'Table 3.15-Route UAA NoPARS'!B11-'Table 3.16-Route UAA PARS'!B11</f>
        <v>0</v>
      </c>
      <c r="O11" s="102">
        <f>C11-'Table 3.15-Route UAA NoPARS'!C11-'Table 3.16-Route UAA PARS'!C11</f>
        <v>0</v>
      </c>
      <c r="P11" s="102">
        <f>D11-'Table 3.15-Route UAA NoPARS'!D11-'Table 3.16-Route UAA PARS'!D11</f>
        <v>0</v>
      </c>
    </row>
    <row r="12" spans="1:16" ht="5" customHeight="1">
      <c r="A12" s="18"/>
      <c r="B12" s="34"/>
      <c r="C12" s="36"/>
      <c r="D12" s="34"/>
      <c r="E12" s="34"/>
      <c r="F12" s="61"/>
      <c r="G12" s="118"/>
      <c r="H12" s="39"/>
      <c r="I12" s="39"/>
      <c r="J12" s="36"/>
      <c r="K12" s="61"/>
      <c r="L12" s="62"/>
    </row>
    <row r="13" spans="1:16">
      <c r="A13" s="66" t="s">
        <v>378</v>
      </c>
      <c r="B13" s="34"/>
      <c r="C13" s="36"/>
      <c r="D13" s="34"/>
      <c r="E13" s="34"/>
      <c r="F13" s="61"/>
      <c r="G13" s="118"/>
      <c r="H13" s="39"/>
      <c r="I13" s="39"/>
      <c r="J13" s="36"/>
      <c r="K13" s="61"/>
      <c r="L13" s="62"/>
    </row>
    <row r="14" spans="1:16">
      <c r="A14" s="245" t="s">
        <v>130</v>
      </c>
      <c r="B14" s="34">
        <v>114.36778779448896</v>
      </c>
      <c r="C14" s="36">
        <v>5287.927111885484</v>
      </c>
      <c r="D14" s="34">
        <v>76355.260337358879</v>
      </c>
      <c r="E14" s="34"/>
      <c r="F14" s="61">
        <f>C14/D14</f>
        <v>6.9254260787298016E-2</v>
      </c>
      <c r="G14" s="118"/>
      <c r="H14" s="39">
        <v>1.3010789984537243</v>
      </c>
      <c r="I14" s="39"/>
      <c r="J14" s="36">
        <f>C14*H14</f>
        <v>6880.0109106282607</v>
      </c>
      <c r="K14" s="61">
        <f>F14*(H14)</f>
        <v>9.0105264263790744E-2</v>
      </c>
      <c r="L14" s="62"/>
      <c r="N14" s="102">
        <f>B14-'Table 3.15-Route UAA NoPARS'!B14-'Table 3.16-Route UAA PARS'!B14</f>
        <v>0</v>
      </c>
      <c r="O14" s="102">
        <f>C14-'Table 3.15-Route UAA NoPARS'!C14-'Table 3.16-Route UAA PARS'!C14</f>
        <v>0</v>
      </c>
      <c r="P14" s="102">
        <f>D14-'Table 3.15-Route UAA NoPARS'!D14-'Table 3.16-Route UAA PARS'!D14</f>
        <v>0</v>
      </c>
    </row>
    <row r="15" spans="1:16">
      <c r="A15" s="246" t="s">
        <v>131</v>
      </c>
      <c r="B15" s="34">
        <v>64.538716549983221</v>
      </c>
      <c r="C15" s="36">
        <v>1749.1111751965132</v>
      </c>
      <c r="D15" s="34">
        <v>43421.033437484897</v>
      </c>
      <c r="E15" s="34"/>
      <c r="F15" s="61">
        <f>C15/D15</f>
        <v>4.0282578205209758E-2</v>
      </c>
      <c r="G15" s="118"/>
      <c r="H15" s="39">
        <v>1.2077066130157168</v>
      </c>
      <c r="I15" s="39"/>
      <c r="J15" s="36">
        <f>C15*H15</f>
        <v>2112.413133184521</v>
      </c>
      <c r="K15" s="61">
        <f>F15*(H15)</f>
        <v>4.8649536087754609E-2</v>
      </c>
      <c r="L15" s="62"/>
      <c r="N15" s="102">
        <f>B15-'Table 3.15-Route UAA NoPARS'!B15-'Table 3.16-Route UAA PARS'!B15</f>
        <v>0</v>
      </c>
      <c r="O15" s="102">
        <f>C15-'Table 3.15-Route UAA NoPARS'!C15-'Table 3.16-Route UAA PARS'!C15</f>
        <v>0</v>
      </c>
      <c r="P15" s="102">
        <f>D15-'Table 3.15-Route UAA NoPARS'!D15-'Table 3.16-Route UAA PARS'!D15</f>
        <v>0</v>
      </c>
    </row>
    <row r="16" spans="1:16">
      <c r="A16" s="245" t="s">
        <v>132</v>
      </c>
      <c r="B16" s="34">
        <v>51.273303486530729</v>
      </c>
      <c r="C16" s="36">
        <v>1092.9796488696829</v>
      </c>
      <c r="D16" s="34">
        <v>21571.214309186333</v>
      </c>
      <c r="E16" s="34"/>
      <c r="F16" s="61">
        <f>C16/D16</f>
        <v>5.0668434015985177E-2</v>
      </c>
      <c r="G16" s="118"/>
      <c r="H16" s="39">
        <v>1.4559921991063358</v>
      </c>
      <c r="I16" s="39"/>
      <c r="J16" s="36">
        <f>C16*H16</f>
        <v>1591.3698425362404</v>
      </c>
      <c r="K16" s="61">
        <f>F16*(H16)</f>
        <v>7.3772844668208534E-2</v>
      </c>
      <c r="L16" s="62"/>
      <c r="N16" s="102">
        <f>B16-'Table 3.15-Route UAA NoPARS'!B16-'Table 3.16-Route UAA PARS'!B16</f>
        <v>0</v>
      </c>
      <c r="O16" s="102">
        <f>C16-'Table 3.15-Route UAA NoPARS'!C16-'Table 3.16-Route UAA PARS'!C16</f>
        <v>0</v>
      </c>
      <c r="P16" s="102">
        <f>D16-'Table 3.15-Route UAA NoPARS'!D16-'Table 3.16-Route UAA PARS'!D16</f>
        <v>0</v>
      </c>
    </row>
    <row r="17" spans="1:16" ht="12.75" customHeight="1">
      <c r="A17" s="245" t="s">
        <v>102</v>
      </c>
      <c r="B17" s="34">
        <v>1.180951669136578</v>
      </c>
      <c r="C17" s="36">
        <v>52.169012364775988</v>
      </c>
      <c r="D17" s="34">
        <v>814.7531915584176</v>
      </c>
      <c r="E17" s="34"/>
      <c r="F17" s="61">
        <f>C17/D17</f>
        <v>6.4030448613511787E-2</v>
      </c>
      <c r="G17" s="118"/>
      <c r="H17" s="39">
        <v>1.2077066130157168</v>
      </c>
      <c r="I17" s="39"/>
      <c r="J17" s="36">
        <f>C17*H17</f>
        <v>63.00486122743866</v>
      </c>
      <c r="K17" s="61">
        <f>F17*(H17)</f>
        <v>7.7329996224901221E-2</v>
      </c>
      <c r="L17" s="62"/>
      <c r="N17" s="102">
        <f>B17-'Table 3.15-Route UAA NoPARS'!B17-'Table 3.16-Route UAA PARS'!B17</f>
        <v>0</v>
      </c>
      <c r="O17" s="102">
        <f>C17-'Table 3.15-Route UAA NoPARS'!C17-'Table 3.16-Route UAA PARS'!C17</f>
        <v>0</v>
      </c>
      <c r="P17" s="102">
        <f>D17-'Table 3.15-Route UAA NoPARS'!D17-'Table 3.16-Route UAA PARS'!D17</f>
        <v>0</v>
      </c>
    </row>
    <row r="18" spans="1:16">
      <c r="A18" s="245" t="s">
        <v>272</v>
      </c>
      <c r="B18" s="34">
        <f>SUM(B14:B17)</f>
        <v>231.36075950013949</v>
      </c>
      <c r="C18" s="36">
        <f>SUM(C14:C17)</f>
        <v>8182.1869483164564</v>
      </c>
      <c r="D18" s="34">
        <f>SUM(D14:D17)</f>
        <v>142162.26127558851</v>
      </c>
      <c r="E18" s="34"/>
      <c r="F18" s="61">
        <f>C18/D18</f>
        <v>5.7555267304414119E-2</v>
      </c>
      <c r="G18" s="118"/>
      <c r="H18" s="39"/>
      <c r="I18" s="39"/>
      <c r="J18" s="36">
        <f>SUM(J14:J17)</f>
        <v>10646.79874757646</v>
      </c>
      <c r="K18" s="61">
        <f>SUMPRODUCT(K14:K17,D14:D17)/D18</f>
        <v>7.4891878140128335E-2</v>
      </c>
      <c r="L18" s="62"/>
      <c r="N18" s="102">
        <f>B18-'Table 3.15-Route UAA NoPARS'!B18-'Table 3.16-Route UAA PARS'!B18</f>
        <v>0</v>
      </c>
      <c r="O18" s="102">
        <f>C18-'Table 3.15-Route UAA NoPARS'!C18-'Table 3.16-Route UAA PARS'!C18</f>
        <v>0</v>
      </c>
      <c r="P18" s="102">
        <f>D18-'Table 3.15-Route UAA NoPARS'!D18-'Table 3.16-Route UAA PARS'!D18</f>
        <v>0</v>
      </c>
    </row>
    <row r="19" spans="1:16" ht="5" customHeight="1">
      <c r="A19" s="59"/>
      <c r="B19" s="34"/>
      <c r="C19" s="34"/>
      <c r="D19" s="34"/>
      <c r="E19" s="34"/>
      <c r="F19" s="61"/>
      <c r="G19" s="118"/>
      <c r="H19" s="39"/>
      <c r="I19" s="39"/>
      <c r="J19" s="36"/>
      <c r="K19" s="61"/>
      <c r="L19" s="62"/>
    </row>
    <row r="20" spans="1:16" ht="12.75" customHeight="1">
      <c r="A20" s="66" t="s">
        <v>379</v>
      </c>
      <c r="B20" s="34"/>
      <c r="C20" s="34"/>
      <c r="D20" s="34"/>
      <c r="E20" s="34"/>
      <c r="F20" s="61"/>
      <c r="G20" s="118"/>
      <c r="H20" s="39"/>
      <c r="I20" s="39"/>
      <c r="J20" s="36"/>
      <c r="K20" s="61"/>
      <c r="L20" s="62"/>
    </row>
    <row r="21" spans="1:16" ht="12.75" customHeight="1">
      <c r="A21" s="245" t="s">
        <v>130</v>
      </c>
      <c r="B21" s="34">
        <v>385.5498772634154</v>
      </c>
      <c r="C21" s="36">
        <v>17814.017224041901</v>
      </c>
      <c r="D21" s="34">
        <v>252640.94512113335</v>
      </c>
      <c r="E21" s="34"/>
      <c r="F21" s="61">
        <f>C21/D21</f>
        <v>7.0511204015250351E-2</v>
      </c>
      <c r="G21" s="118"/>
      <c r="H21" s="39">
        <v>1.3010789984537243</v>
      </c>
      <c r="I21" s="39"/>
      <c r="J21" s="36">
        <f>C21*H21</f>
        <v>23177.443688293832</v>
      </c>
      <c r="K21" s="61">
        <f>F21*(H21)</f>
        <v>9.1740646699928152E-2</v>
      </c>
      <c r="L21" s="62"/>
      <c r="N21" s="102">
        <f>B21-'Table 3.15-Route UAA NoPARS'!B21-'Table 3.16-Route UAA PARS'!B21</f>
        <v>0</v>
      </c>
      <c r="O21" s="102">
        <f>C21-'Table 3.15-Route UAA NoPARS'!C21-'Table 3.16-Route UAA PARS'!C21</f>
        <v>0</v>
      </c>
      <c r="P21" s="102">
        <f>D21-'Table 3.15-Route UAA NoPARS'!D21-'Table 3.16-Route UAA PARS'!D21</f>
        <v>0</v>
      </c>
    </row>
    <row r="22" spans="1:16" ht="12.75" customHeight="1">
      <c r="A22" s="246" t="s">
        <v>131</v>
      </c>
      <c r="B22" s="34">
        <v>181.49825740752974</v>
      </c>
      <c r="C22" s="36">
        <v>4777.8694900014489</v>
      </c>
      <c r="D22" s="34">
        <v>123341.71935768379</v>
      </c>
      <c r="E22" s="34"/>
      <c r="F22" s="61">
        <f>C22/D22</f>
        <v>3.8736848447408989E-2</v>
      </c>
      <c r="G22" s="118"/>
      <c r="H22" s="39">
        <v>1.2077066130157168</v>
      </c>
      <c r="I22" s="39"/>
      <c r="J22" s="36">
        <f>C22*H22</f>
        <v>5770.2645792007797</v>
      </c>
      <c r="K22" s="61">
        <f>F22*(H22)</f>
        <v>4.6782748037323435E-2</v>
      </c>
      <c r="L22" s="62"/>
      <c r="N22" s="102">
        <f>B22-'Table 3.15-Route UAA NoPARS'!B22-'Table 3.16-Route UAA PARS'!B22</f>
        <v>0</v>
      </c>
      <c r="O22" s="102">
        <f>C22-'Table 3.15-Route UAA NoPARS'!C22-'Table 3.16-Route UAA PARS'!C22</f>
        <v>0</v>
      </c>
      <c r="P22" s="102">
        <f>D22-'Table 3.15-Route UAA NoPARS'!D22-'Table 3.16-Route UAA PARS'!D22</f>
        <v>0</v>
      </c>
    </row>
    <row r="23" spans="1:16" ht="12.75" customHeight="1">
      <c r="A23" s="245" t="s">
        <v>132</v>
      </c>
      <c r="B23" s="34">
        <v>84.023045648992621</v>
      </c>
      <c r="C23" s="36">
        <v>2977.3705246926966</v>
      </c>
      <c r="D23" s="34">
        <v>56349.233806295801</v>
      </c>
      <c r="E23" s="34"/>
      <c r="F23" s="61">
        <f>C23/D23</f>
        <v>5.2837817368158076E-2</v>
      </c>
      <c r="G23" s="118"/>
      <c r="H23" s="39">
        <v>1.4559921991063358</v>
      </c>
      <c r="I23" s="39"/>
      <c r="J23" s="36">
        <f>C23*H23</f>
        <v>4335.0282578017041</v>
      </c>
      <c r="K23" s="61">
        <f>F23*(H23)</f>
        <v>7.6931449905843427E-2</v>
      </c>
      <c r="L23" s="62"/>
      <c r="N23" s="102">
        <f>B23-'Table 3.15-Route UAA NoPARS'!B23-'Table 3.16-Route UAA PARS'!B23</f>
        <v>0</v>
      </c>
      <c r="O23" s="102">
        <f>C23-'Table 3.15-Route UAA NoPARS'!C23-'Table 3.16-Route UAA PARS'!C23</f>
        <v>0</v>
      </c>
      <c r="P23" s="102">
        <f>D23-'Table 3.15-Route UAA NoPARS'!D23-'Table 3.16-Route UAA PARS'!D23</f>
        <v>0</v>
      </c>
    </row>
    <row r="24" spans="1:16" ht="12.75" customHeight="1">
      <c r="A24" s="245" t="s">
        <v>102</v>
      </c>
      <c r="B24" s="34">
        <v>2.3486688612656965</v>
      </c>
      <c r="C24" s="36">
        <v>103.75338641395668</v>
      </c>
      <c r="D24" s="34">
        <v>1620.3757534202639</v>
      </c>
      <c r="E24" s="34"/>
      <c r="F24" s="61">
        <f>C24/D24</f>
        <v>6.4030448613511801E-2</v>
      </c>
      <c r="G24" s="118"/>
      <c r="H24" s="39">
        <v>1.2077066130157168</v>
      </c>
      <c r="I24" s="39"/>
      <c r="J24" s="36">
        <f>C24*H24</f>
        <v>125.3036508949105</v>
      </c>
      <c r="K24" s="61">
        <f>F24*(H24)</f>
        <v>7.7329996224901235E-2</v>
      </c>
      <c r="L24" s="62"/>
      <c r="N24" s="102">
        <f>B24-'Table 3.15-Route UAA NoPARS'!B24-'Table 3.16-Route UAA PARS'!B24</f>
        <v>0</v>
      </c>
      <c r="O24" s="102">
        <f>C24-'Table 3.15-Route UAA NoPARS'!C24-'Table 3.16-Route UAA PARS'!C24</f>
        <v>0</v>
      </c>
      <c r="P24" s="102">
        <f>D24-'Table 3.15-Route UAA NoPARS'!D24-'Table 3.16-Route UAA PARS'!D24</f>
        <v>0</v>
      </c>
    </row>
    <row r="25" spans="1:16" ht="12.75" customHeight="1">
      <c r="A25" s="245" t="s">
        <v>272</v>
      </c>
      <c r="B25" s="34">
        <f>SUM(B21:B24)</f>
        <v>653.4198491812034</v>
      </c>
      <c r="C25" s="36">
        <f>SUM(C21:C24)</f>
        <v>25673.010625150004</v>
      </c>
      <c r="D25" s="34">
        <f>SUM(D21:D24)</f>
        <v>433952.27403853321</v>
      </c>
      <c r="E25" s="34"/>
      <c r="F25" s="61">
        <f>C25/D25</f>
        <v>5.9160908148324032E-2</v>
      </c>
      <c r="G25" s="118"/>
      <c r="H25" s="39"/>
      <c r="I25" s="39"/>
      <c r="J25" s="36">
        <f>SUM(J21:J24)</f>
        <v>33408.040176191222</v>
      </c>
      <c r="K25" s="61">
        <f>SUMPRODUCT(K21:K24,D21:D24)/D25</f>
        <v>7.6985517013847288E-2</v>
      </c>
      <c r="L25" s="62"/>
      <c r="N25" s="102">
        <f>B25-'Table 3.15-Route UAA NoPARS'!B25-'Table 3.16-Route UAA PARS'!B25</f>
        <v>0</v>
      </c>
      <c r="O25" s="102">
        <f>C25-'Table 3.15-Route UAA NoPARS'!C25-'Table 3.16-Route UAA PARS'!C25</f>
        <v>0</v>
      </c>
      <c r="P25" s="102">
        <f>D25-'Table 3.15-Route UAA NoPARS'!D25-'Table 3.16-Route UAA PARS'!D25</f>
        <v>0</v>
      </c>
    </row>
    <row r="26" spans="1:16" ht="5" customHeight="1">
      <c r="A26" s="59"/>
      <c r="B26" s="34"/>
      <c r="C26" s="34"/>
      <c r="D26" s="34"/>
      <c r="E26" s="34"/>
      <c r="F26" s="61"/>
      <c r="G26" s="118"/>
      <c r="H26" s="39"/>
      <c r="I26" s="39"/>
      <c r="J26" s="36"/>
      <c r="K26" s="61"/>
      <c r="L26" s="62"/>
    </row>
    <row r="27" spans="1:16" ht="12.75" customHeight="1">
      <c r="A27" s="18" t="s">
        <v>271</v>
      </c>
      <c r="B27" s="34"/>
      <c r="C27" s="34"/>
      <c r="D27" s="34"/>
      <c r="E27" s="34"/>
      <c r="F27" s="61"/>
      <c r="G27" s="118"/>
      <c r="H27" s="39"/>
      <c r="I27" s="39"/>
      <c r="J27" s="36"/>
      <c r="K27" s="61"/>
      <c r="L27" s="62"/>
    </row>
    <row r="28" spans="1:16" ht="12.75" customHeight="1">
      <c r="A28" s="245" t="s">
        <v>130</v>
      </c>
      <c r="B28" s="34">
        <v>24.149467435313699</v>
      </c>
      <c r="C28" s="36">
        <v>1048.0052545726396</v>
      </c>
      <c r="D28" s="34">
        <v>18039.670394545348</v>
      </c>
      <c r="E28" s="34"/>
      <c r="F28" s="61">
        <f>C28/D28</f>
        <v>5.8094479092562844E-2</v>
      </c>
      <c r="G28" s="118"/>
      <c r="H28" s="39">
        <v>1.3010789984537243</v>
      </c>
      <c r="I28" s="39"/>
      <c r="J28" s="36">
        <f>C28*H28</f>
        <v>1363.5376269936103</v>
      </c>
      <c r="K28" s="61">
        <f>F28*(H28)</f>
        <v>7.5585506673442493E-2</v>
      </c>
      <c r="L28" s="62"/>
      <c r="N28" s="102">
        <f>B28-'Table 3.15-Route UAA NoPARS'!B28-'Table 3.16-Route UAA PARS'!B28</f>
        <v>0</v>
      </c>
      <c r="O28" s="102">
        <f>C28-'Table 3.15-Route UAA NoPARS'!C28-'Table 3.16-Route UAA PARS'!C28</f>
        <v>0</v>
      </c>
      <c r="P28" s="102">
        <f>D28-'Table 3.15-Route UAA NoPARS'!D28-'Table 3.16-Route UAA PARS'!D28</f>
        <v>0</v>
      </c>
    </row>
    <row r="29" spans="1:16" ht="12.75" customHeight="1">
      <c r="A29" s="246" t="s">
        <v>131</v>
      </c>
      <c r="B29" s="34">
        <v>12.349276787915469</v>
      </c>
      <c r="C29" s="36">
        <v>311.64939889130193</v>
      </c>
      <c r="D29" s="34">
        <v>9024.3644236259497</v>
      </c>
      <c r="E29" s="34"/>
      <c r="F29" s="61">
        <f>C29/D29</f>
        <v>3.4534221387979208E-2</v>
      </c>
      <c r="G29" s="118"/>
      <c r="H29" s="39">
        <v>1.2077066130157168</v>
      </c>
      <c r="I29" s="39"/>
      <c r="J29" s="36">
        <f>C29*H29</f>
        <v>376.38103998339835</v>
      </c>
      <c r="K29" s="61">
        <f>F29*(H29)</f>
        <v>4.1707207545611295E-2</v>
      </c>
      <c r="L29" s="62"/>
      <c r="N29" s="102">
        <f>B29-'Table 3.15-Route UAA NoPARS'!B29-'Table 3.16-Route UAA PARS'!B29</f>
        <v>0</v>
      </c>
      <c r="O29" s="102">
        <f>C29-'Table 3.15-Route UAA NoPARS'!C29-'Table 3.16-Route UAA PARS'!C29</f>
        <v>0</v>
      </c>
      <c r="P29" s="102">
        <f>D29-'Table 3.15-Route UAA NoPARS'!D29-'Table 3.16-Route UAA PARS'!D29</f>
        <v>0</v>
      </c>
    </row>
    <row r="30" spans="1:16" ht="12.75" customHeight="1">
      <c r="A30" s="245" t="s">
        <v>132</v>
      </c>
      <c r="B30" s="34">
        <v>9.8962025338348685</v>
      </c>
      <c r="C30" s="36">
        <v>1143.4155084023967</v>
      </c>
      <c r="D30" s="34">
        <v>5016.4272462211165</v>
      </c>
      <c r="E30" s="34"/>
      <c r="F30" s="61">
        <f>C30/D30</f>
        <v>0.22793423531931686</v>
      </c>
      <c r="G30" s="118"/>
      <c r="H30" s="39">
        <v>1.4559921991063358</v>
      </c>
      <c r="I30" s="39"/>
      <c r="J30" s="36">
        <f>C30*H30</f>
        <v>1664.8040605710944</v>
      </c>
      <c r="K30" s="61">
        <f>F30*(H30)</f>
        <v>0.33187046853419322</v>
      </c>
      <c r="L30" s="62"/>
      <c r="N30" s="102">
        <f>B30-'Table 3.15-Route UAA NoPARS'!B30-'Table 3.16-Route UAA PARS'!B30</f>
        <v>0</v>
      </c>
      <c r="O30" s="102">
        <f>C30-'Table 3.15-Route UAA NoPARS'!C30-'Table 3.16-Route UAA PARS'!C30</f>
        <v>0</v>
      </c>
      <c r="P30" s="102">
        <f>D30-'Table 3.15-Route UAA NoPARS'!D30-'Table 3.16-Route UAA PARS'!D30</f>
        <v>0</v>
      </c>
    </row>
    <row r="31" spans="1:16" ht="12.75" customHeight="1">
      <c r="A31" s="245" t="s">
        <v>102</v>
      </c>
      <c r="B31" s="34">
        <v>7.8932616255755594E-2</v>
      </c>
      <c r="C31" s="36">
        <v>3.4868798961445053</v>
      </c>
      <c r="D31" s="34">
        <v>60.290515395293582</v>
      </c>
      <c r="E31" s="34"/>
      <c r="F31" s="61">
        <f>C31/D31</f>
        <v>5.7834634076070597E-2</v>
      </c>
      <c r="G31" s="118"/>
      <c r="H31" s="39">
        <v>1.2077066130157168</v>
      </c>
      <c r="I31" s="39"/>
      <c r="J31" s="36">
        <f>C31*H31</f>
        <v>4.2111279093652749</v>
      </c>
      <c r="K31" s="61">
        <f>F31*(H31)</f>
        <v>6.9847270035014578E-2</v>
      </c>
      <c r="L31" s="62"/>
      <c r="N31" s="102">
        <f>B31-'Table 3.15-Route UAA NoPARS'!B31-'Table 3.16-Route UAA PARS'!B31</f>
        <v>0</v>
      </c>
      <c r="O31" s="102">
        <f>C31-'Table 3.15-Route UAA NoPARS'!C31-'Table 3.16-Route UAA PARS'!C31</f>
        <v>0</v>
      </c>
      <c r="P31" s="102">
        <f>D31-'Table 3.15-Route UAA NoPARS'!D31-'Table 3.16-Route UAA PARS'!D31</f>
        <v>0</v>
      </c>
    </row>
    <row r="32" spans="1:16" ht="12.75" customHeight="1">
      <c r="A32" s="245" t="s">
        <v>272</v>
      </c>
      <c r="B32" s="34">
        <f>SUM(B28:B31)</f>
        <v>46.473879373319789</v>
      </c>
      <c r="C32" s="36">
        <f>SUM(C28:C31)</f>
        <v>2506.5570417624826</v>
      </c>
      <c r="D32" s="34">
        <f>SUM(D28:D31)</f>
        <v>32140.752579787706</v>
      </c>
      <c r="E32" s="34"/>
      <c r="F32" s="61">
        <f>C32/D32</f>
        <v>7.7986880846678625E-2</v>
      </c>
      <c r="G32" s="118"/>
      <c r="H32" s="39"/>
      <c r="I32" s="39"/>
      <c r="J32" s="36">
        <f>SUM(J28:J31)</f>
        <v>3408.9338554574679</v>
      </c>
      <c r="K32" s="61">
        <f>SUMPRODUCT(K28:K31,D28:D31)/D32</f>
        <v>0.10606266443186022</v>
      </c>
      <c r="L32" s="62"/>
      <c r="N32" s="102">
        <f>B32-'Table 3.15-Route UAA NoPARS'!B32-'Table 3.16-Route UAA PARS'!B32</f>
        <v>0</v>
      </c>
      <c r="O32" s="102">
        <f>C32-'Table 3.15-Route UAA NoPARS'!C32-'Table 3.16-Route UAA PARS'!C32</f>
        <v>0</v>
      </c>
      <c r="P32" s="102">
        <f>D32-'Table 3.15-Route UAA NoPARS'!D32-'Table 3.16-Route UAA PARS'!D32</f>
        <v>0</v>
      </c>
    </row>
    <row r="33" spans="1:17" ht="5" customHeight="1">
      <c r="A33" s="59"/>
      <c r="B33" s="34"/>
      <c r="C33" s="36"/>
      <c r="D33" s="34"/>
      <c r="E33" s="34"/>
      <c r="F33" s="61"/>
      <c r="G33" s="118"/>
      <c r="H33" s="39"/>
      <c r="I33" s="39"/>
      <c r="J33" s="36"/>
      <c r="K33" s="61"/>
      <c r="L33" s="62"/>
    </row>
    <row r="34" spans="1:17" ht="12.75" customHeight="1">
      <c r="A34" s="66" t="s">
        <v>283</v>
      </c>
      <c r="B34" s="34"/>
      <c r="C34" s="36"/>
      <c r="D34" s="34"/>
      <c r="E34" s="34"/>
      <c r="F34" s="61"/>
      <c r="G34" s="118"/>
      <c r="H34" s="39"/>
      <c r="I34" s="39"/>
      <c r="J34" s="36"/>
      <c r="K34" s="61"/>
      <c r="L34" s="62"/>
    </row>
    <row r="35" spans="1:17">
      <c r="A35" s="245" t="s">
        <v>130</v>
      </c>
      <c r="B35" s="34">
        <f t="shared" ref="B35:D38" si="0">SUM(B7,B14,B21,B28)</f>
        <v>1248.880566949236</v>
      </c>
      <c r="C35" s="36">
        <f t="shared" si="0"/>
        <v>57546.987983885942</v>
      </c>
      <c r="D35" s="34">
        <f t="shared" si="0"/>
        <v>835450.73929083766</v>
      </c>
      <c r="E35" s="34"/>
      <c r="F35" s="61">
        <f>C35/D35</f>
        <v>6.8881365803487124E-2</v>
      </c>
      <c r="G35" s="118"/>
      <c r="H35" s="39">
        <v>1.3010789984537243</v>
      </c>
      <c r="I35" s="39"/>
      <c r="J35" s="36">
        <f>SUM(J7,J14,J21,J28)</f>
        <v>74873.177490102826</v>
      </c>
      <c r="K35" s="61">
        <f>F35*(H35)</f>
        <v>8.9620098431725637E-2</v>
      </c>
      <c r="L35" s="62"/>
      <c r="N35" s="102">
        <f>B35-'Table 3.15-Route UAA NoPARS'!B35-'Table 3.16-Route UAA PARS'!B35</f>
        <v>0</v>
      </c>
      <c r="O35" s="102">
        <f>C35-'Table 3.15-Route UAA NoPARS'!C35-'Table 3.16-Route UAA PARS'!C35</f>
        <v>0</v>
      </c>
      <c r="P35" s="102">
        <f>D35-'Table 3.15-Route UAA NoPARS'!D35-'Table 3.16-Route UAA PARS'!D35</f>
        <v>0</v>
      </c>
    </row>
    <row r="36" spans="1:17">
      <c r="A36" s="246" t="s">
        <v>131</v>
      </c>
      <c r="B36" s="34">
        <f t="shared" si="0"/>
        <v>517.08816985500437</v>
      </c>
      <c r="C36" s="36">
        <f t="shared" si="0"/>
        <v>13584.026484628886</v>
      </c>
      <c r="D36" s="34">
        <f t="shared" si="0"/>
        <v>358254.71055236709</v>
      </c>
      <c r="E36" s="34"/>
      <c r="F36" s="61">
        <f>C36/D36</f>
        <v>3.7917230630923615E-2</v>
      </c>
      <c r="G36" s="118"/>
      <c r="H36" s="39">
        <v>1.2077066130157168</v>
      </c>
      <c r="I36" s="39"/>
      <c r="J36" s="36">
        <f>SUM(J8,J15,J22,J29)</f>
        <v>16405.518616866946</v>
      </c>
      <c r="K36" s="61">
        <f>F36*(H36)</f>
        <v>4.5792890180208552E-2</v>
      </c>
      <c r="L36" s="62"/>
      <c r="N36" s="102">
        <f>B36-'Table 3.15-Route UAA NoPARS'!B36-'Table 3.16-Route UAA PARS'!B36</f>
        <v>0</v>
      </c>
      <c r="O36" s="102">
        <f>C36-'Table 3.15-Route UAA NoPARS'!C36-'Table 3.16-Route UAA PARS'!C36</f>
        <v>0</v>
      </c>
      <c r="P36" s="102">
        <f>D36-'Table 3.15-Route UAA NoPARS'!D36-'Table 3.16-Route UAA PARS'!D36</f>
        <v>0</v>
      </c>
    </row>
    <row r="37" spans="1:17">
      <c r="A37" s="245" t="s">
        <v>132</v>
      </c>
      <c r="B37" s="34">
        <f t="shared" si="0"/>
        <v>339.67409063921775</v>
      </c>
      <c r="C37" s="36">
        <f t="shared" si="0"/>
        <v>12002.117703305343</v>
      </c>
      <c r="D37" s="34">
        <f t="shared" si="0"/>
        <v>215438.52191433951</v>
      </c>
      <c r="E37" s="34"/>
      <c r="F37" s="61">
        <f>C37/D37</f>
        <v>5.5710174748030916E-2</v>
      </c>
      <c r="G37" s="118"/>
      <c r="H37" s="39">
        <v>1.4559921991063358</v>
      </c>
      <c r="I37" s="39"/>
      <c r="J37" s="36">
        <f>SUM(J9,J16,J23,J30)</f>
        <v>17474.989748768632</v>
      </c>
      <c r="K37" s="61">
        <f>F37*(H37)</f>
        <v>8.1113579843983791E-2</v>
      </c>
      <c r="L37" s="62"/>
      <c r="N37" s="102">
        <f>B37-'Table 3.15-Route UAA NoPARS'!B37-'Table 3.16-Route UAA PARS'!B37</f>
        <v>0</v>
      </c>
      <c r="O37" s="102">
        <f>C37-'Table 3.15-Route UAA NoPARS'!C37-'Table 3.16-Route UAA PARS'!C37</f>
        <v>0</v>
      </c>
      <c r="P37" s="102">
        <f>D37-'Table 3.15-Route UAA NoPARS'!D37-'Table 3.16-Route UAA PARS'!D37</f>
        <v>0</v>
      </c>
    </row>
    <row r="38" spans="1:17">
      <c r="A38" s="245" t="s">
        <v>102</v>
      </c>
      <c r="B38" s="34">
        <f t="shared" si="0"/>
        <v>8.9703077845358621</v>
      </c>
      <c r="C38" s="36">
        <f t="shared" si="0"/>
        <v>396.26693450498556</v>
      </c>
      <c r="D38" s="34">
        <f t="shared" si="0"/>
        <v>6223.5469372024781</v>
      </c>
      <c r="E38" s="34"/>
      <c r="F38" s="61">
        <f>C38/D38</f>
        <v>6.3672201479870238E-2</v>
      </c>
      <c r="G38" s="118"/>
      <c r="H38" s="39">
        <v>1.2077066130157168</v>
      </c>
      <c r="I38" s="39"/>
      <c r="J38" s="36">
        <f>SUM(J10,J17,J24,J31)</f>
        <v>478.57419732113704</v>
      </c>
      <c r="K38" s="61">
        <f>F38*(H38)</f>
        <v>7.6897338792508402E-2</v>
      </c>
      <c r="L38" s="62"/>
      <c r="N38" s="102">
        <f>B38-'Table 3.15-Route UAA NoPARS'!B38-'Table 3.16-Route UAA PARS'!B38</f>
        <v>0</v>
      </c>
      <c r="O38" s="102">
        <f>C38-'Table 3.15-Route UAA NoPARS'!C38-'Table 3.16-Route UAA PARS'!C38</f>
        <v>0</v>
      </c>
      <c r="P38" s="102">
        <f>D38-'Table 3.15-Route UAA NoPARS'!D38-'Table 3.16-Route UAA PARS'!D38</f>
        <v>0</v>
      </c>
    </row>
    <row r="39" spans="1:17">
      <c r="A39" s="246" t="s">
        <v>97</v>
      </c>
      <c r="B39" s="34">
        <f>SUM(B35:B38)</f>
        <v>2114.6131352279945</v>
      </c>
      <c r="C39" s="36">
        <f>SUM(C35:C38)</f>
        <v>83529.399106325145</v>
      </c>
      <c r="D39" s="34">
        <f>SUM(D35:D38)</f>
        <v>1415367.5186947468</v>
      </c>
      <c r="E39" s="34"/>
      <c r="F39" s="61"/>
      <c r="G39" s="118"/>
      <c r="H39" s="39"/>
      <c r="I39" s="39"/>
      <c r="J39" s="36">
        <f>SUM(J35:J38)</f>
        <v>109232.26005305955</v>
      </c>
      <c r="K39" s="61">
        <f>SUMPRODUCT(K35:K38,D35:D38)/D39</f>
        <v>7.7175898563642056E-2</v>
      </c>
      <c r="L39" s="62"/>
      <c r="N39" s="102">
        <f>B39-'Table 3.15-Route UAA NoPARS'!B39-'Table 3.16-Route UAA PARS'!B39</f>
        <v>0</v>
      </c>
      <c r="O39" s="102">
        <f>C39-'Table 3.15-Route UAA NoPARS'!C39-'Table 3.16-Route UAA PARS'!C39</f>
        <v>0</v>
      </c>
      <c r="P39" s="102">
        <f>D39-'Table 3.15-Route UAA NoPARS'!D39-'Table 3.16-Route UAA PARS'!D39</f>
        <v>0</v>
      </c>
    </row>
    <row r="40" spans="1:17" ht="5" customHeight="1">
      <c r="A40" s="59"/>
      <c r="B40" s="34"/>
      <c r="C40" s="36"/>
      <c r="D40" s="34"/>
      <c r="E40" s="34"/>
      <c r="F40" s="61"/>
      <c r="G40" s="118"/>
      <c r="H40" s="39"/>
      <c r="I40" s="39"/>
      <c r="J40" s="36"/>
      <c r="K40" s="61"/>
      <c r="L40" s="62"/>
    </row>
    <row r="41" spans="1:17">
      <c r="A41" s="59"/>
      <c r="B41" s="34"/>
      <c r="C41" s="36"/>
      <c r="D41" s="34"/>
      <c r="E41" s="34"/>
      <c r="F41" s="61"/>
      <c r="G41" s="118"/>
      <c r="H41" s="39"/>
      <c r="I41" s="39"/>
      <c r="J41" s="36"/>
      <c r="K41" s="61"/>
      <c r="L41" s="62"/>
    </row>
    <row r="42" spans="1:17" ht="16">
      <c r="A42" s="117" t="s">
        <v>58</v>
      </c>
      <c r="L42" s="62"/>
    </row>
    <row r="43" spans="1:17" ht="16">
      <c r="A43" s="117" t="s">
        <v>780</v>
      </c>
      <c r="L43" s="62"/>
    </row>
    <row r="44" spans="1:17" ht="28">
      <c r="B44" s="138" t="s">
        <v>243</v>
      </c>
      <c r="C44" s="107" t="s">
        <v>244</v>
      </c>
      <c r="D44" s="125" t="s">
        <v>245</v>
      </c>
      <c r="E44" s="125"/>
      <c r="F44" s="126" t="s">
        <v>202</v>
      </c>
      <c r="G44" s="118"/>
      <c r="H44" s="119" t="s">
        <v>241</v>
      </c>
      <c r="I44" s="118"/>
      <c r="J44" s="138" t="s">
        <v>105</v>
      </c>
      <c r="K44" s="31" t="s">
        <v>128</v>
      </c>
      <c r="L44" s="62"/>
    </row>
    <row r="45" spans="1:17">
      <c r="A45" s="14" t="s">
        <v>380</v>
      </c>
      <c r="B45" s="34"/>
      <c r="C45" s="36"/>
      <c r="D45" s="34"/>
      <c r="E45" s="34"/>
      <c r="F45" s="61"/>
      <c r="G45" s="118"/>
      <c r="H45" s="39"/>
      <c r="I45" s="39"/>
      <c r="J45" s="36"/>
      <c r="K45" s="61"/>
      <c r="L45" s="62"/>
    </row>
    <row r="46" spans="1:17" ht="5" customHeight="1">
      <c r="A46" s="59"/>
      <c r="B46" s="34"/>
      <c r="C46" s="36"/>
      <c r="D46" s="34"/>
      <c r="E46" s="34"/>
      <c r="F46" s="61"/>
      <c r="G46" s="118"/>
      <c r="H46" s="39"/>
      <c r="I46" s="39"/>
      <c r="J46" s="36"/>
      <c r="K46" s="61"/>
      <c r="L46" s="62"/>
    </row>
    <row r="47" spans="1:17">
      <c r="A47" s="66" t="s">
        <v>381</v>
      </c>
      <c r="B47" s="34"/>
      <c r="C47" s="36"/>
      <c r="D47" s="34"/>
      <c r="E47" s="34"/>
      <c r="F47" s="31"/>
      <c r="G47" s="118"/>
      <c r="H47" s="39"/>
      <c r="I47" s="39"/>
      <c r="J47" s="32"/>
      <c r="K47" s="31"/>
      <c r="L47" s="62"/>
    </row>
    <row r="48" spans="1:17">
      <c r="A48" s="245" t="s">
        <v>130</v>
      </c>
      <c r="B48" s="34">
        <v>60.028509586712495</v>
      </c>
      <c r="C48" s="36">
        <v>3664.2291263895509</v>
      </c>
      <c r="D48" s="34">
        <v>48467.711926519958</v>
      </c>
      <c r="E48" s="34"/>
      <c r="F48" s="61">
        <f>C48/D48</f>
        <v>7.5601446421583673E-2</v>
      </c>
      <c r="G48" s="118"/>
      <c r="H48" s="39">
        <v>1.3010789984537243</v>
      </c>
      <c r="I48" s="39"/>
      <c r="J48" s="36">
        <f>C48*H48</f>
        <v>4767.4515618678824</v>
      </c>
      <c r="K48" s="61">
        <f>F48*(H48)</f>
        <v>9.8363454191846986E-2</v>
      </c>
      <c r="L48" s="62"/>
      <c r="N48" s="102">
        <f>B48-'Table 3.15-Route UAA NoPARS'!B48-'Table 3.16-Route UAA PARS'!B48</f>
        <v>0</v>
      </c>
      <c r="O48" s="102">
        <f>C48-'Table 3.15-Route UAA NoPARS'!C48-'Table 3.16-Route UAA PARS'!C48</f>
        <v>0</v>
      </c>
      <c r="P48" s="102">
        <f>D48-'Table 3.15-Route UAA NoPARS'!D48-'Table 3.16-Route UAA PARS'!D48</f>
        <v>0</v>
      </c>
      <c r="Q48" s="102">
        <f>J48-'Table 3.15-Route UAA NoPARS'!J48-'Table 3.16-Route UAA PARS'!J48</f>
        <v>0</v>
      </c>
    </row>
    <row r="49" spans="1:17">
      <c r="A49" s="246" t="s">
        <v>131</v>
      </c>
      <c r="B49" s="34">
        <v>13.948531808183077</v>
      </c>
      <c r="C49" s="36">
        <v>583.26576716213435</v>
      </c>
      <c r="D49" s="34">
        <v>22359.797654080721</v>
      </c>
      <c r="E49" s="34"/>
      <c r="F49" s="61">
        <f>C49/D49</f>
        <v>2.6085467148925064E-2</v>
      </c>
      <c r="G49" s="118"/>
      <c r="H49" s="39">
        <v>1.2077066130157168</v>
      </c>
      <c r="I49" s="39"/>
      <c r="J49" s="36">
        <f>C49*H49</f>
        <v>704.41392414739494</v>
      </c>
      <c r="K49" s="61">
        <f>F49*(H49)</f>
        <v>3.1503591179361037E-2</v>
      </c>
      <c r="L49" s="62"/>
      <c r="N49" s="102">
        <f>B49-'Table 3.15-Route UAA NoPARS'!B49-'Table 3.16-Route UAA PARS'!B49</f>
        <v>0</v>
      </c>
      <c r="O49" s="102">
        <f>C49-'Table 3.15-Route UAA NoPARS'!C49-'Table 3.16-Route UAA PARS'!C49</f>
        <v>0</v>
      </c>
      <c r="P49" s="102">
        <f>D49-'Table 3.15-Route UAA NoPARS'!D49-'Table 3.16-Route UAA PARS'!D49</f>
        <v>0</v>
      </c>
      <c r="Q49" s="102">
        <f>J49-'Table 3.15-Route UAA NoPARS'!J49-'Table 3.16-Route UAA PARS'!J49</f>
        <v>0</v>
      </c>
    </row>
    <row r="50" spans="1:17">
      <c r="A50" s="245" t="s">
        <v>132</v>
      </c>
      <c r="B50" s="24">
        <v>6.2668160235002981</v>
      </c>
      <c r="C50" s="36">
        <v>489.98890949697943</v>
      </c>
      <c r="D50" s="24">
        <v>8345.3154487457668</v>
      </c>
      <c r="E50" s="34"/>
      <c r="F50" s="61">
        <f>C50/D50</f>
        <v>5.8714246634094677E-2</v>
      </c>
      <c r="G50" s="118"/>
      <c r="H50" s="39">
        <v>1.4559921991063358</v>
      </c>
      <c r="I50" s="39"/>
      <c r="J50" s="36">
        <f>C50*H50</f>
        <v>713.42002987622243</v>
      </c>
      <c r="K50" s="61">
        <f>F50*(H50)</f>
        <v>8.5487485075647282E-2</v>
      </c>
      <c r="L50" s="62"/>
      <c r="N50" s="102">
        <f>B50-'Table 3.15-Route UAA NoPARS'!B50-'Table 3.16-Route UAA PARS'!B50</f>
        <v>0</v>
      </c>
      <c r="O50" s="102">
        <f>C50-'Table 3.15-Route UAA NoPARS'!C50-'Table 3.16-Route UAA PARS'!C50</f>
        <v>0</v>
      </c>
      <c r="P50" s="102">
        <f>D50-'Table 3.15-Route UAA NoPARS'!D50-'Table 3.16-Route UAA PARS'!D50</f>
        <v>0</v>
      </c>
      <c r="Q50" s="102">
        <f>J50-'Table 3.15-Route UAA NoPARS'!J50-'Table 3.16-Route UAA PARS'!J50</f>
        <v>0</v>
      </c>
    </row>
    <row r="51" spans="1:17">
      <c r="A51" s="245" t="s">
        <v>102</v>
      </c>
      <c r="B51" s="24">
        <v>0.22582166660753006</v>
      </c>
      <c r="C51" s="36">
        <v>9.9757624510542851</v>
      </c>
      <c r="D51" s="24">
        <v>421.32250605606998</v>
      </c>
      <c r="E51" s="34"/>
      <c r="F51" s="61">
        <f>C51/D51</f>
        <v>2.3677259836973202E-2</v>
      </c>
      <c r="G51" s="118"/>
      <c r="H51" s="39">
        <v>1.2077066130157168</v>
      </c>
      <c r="I51" s="39"/>
      <c r="J51" s="36">
        <f>C51*H51</f>
        <v>12.047794282012136</v>
      </c>
      <c r="K51" s="61">
        <f>F51*(H51)</f>
        <v>2.8595183283203967E-2</v>
      </c>
      <c r="L51" s="62"/>
      <c r="N51" s="102">
        <f>B51-'Table 3.15-Route UAA NoPARS'!B51-'Table 3.16-Route UAA PARS'!B51</f>
        <v>0</v>
      </c>
      <c r="O51" s="102">
        <f>C51-'Table 3.15-Route UAA NoPARS'!C51-'Table 3.16-Route UAA PARS'!C51</f>
        <v>0</v>
      </c>
      <c r="P51" s="102">
        <f>D51-'Table 3.15-Route UAA NoPARS'!D51-'Table 3.16-Route UAA PARS'!D51</f>
        <v>0</v>
      </c>
      <c r="Q51" s="102">
        <f>J51-'Table 3.15-Route UAA NoPARS'!J51-'Table 3.16-Route UAA PARS'!J51</f>
        <v>0</v>
      </c>
    </row>
    <row r="52" spans="1:17">
      <c r="A52" s="245" t="s">
        <v>272</v>
      </c>
      <c r="B52" s="24">
        <f>SUM(B48:B51)</f>
        <v>80.469679085003392</v>
      </c>
      <c r="C52" s="36">
        <f>SUM(C48:C51)</f>
        <v>4747.4595654997183</v>
      </c>
      <c r="D52" s="24">
        <f>SUM(D48:D51)</f>
        <v>79594.147535402517</v>
      </c>
      <c r="E52" s="34"/>
      <c r="F52" s="31"/>
      <c r="G52" s="118"/>
      <c r="H52" s="39"/>
      <c r="I52" s="39"/>
      <c r="J52" s="36">
        <f>SUM(J48:J51)</f>
        <v>6197.3333101735125</v>
      </c>
      <c r="K52" s="61">
        <f>SUMPRODUCT(K48:K51,D48:D51)/D52</f>
        <v>7.7861670764386451E-2</v>
      </c>
      <c r="L52" s="62"/>
      <c r="N52" s="102">
        <f>B52-'Table 3.15-Route UAA NoPARS'!B52-'Table 3.16-Route UAA PARS'!B52</f>
        <v>0</v>
      </c>
      <c r="O52" s="102">
        <f>C52-'Table 3.15-Route UAA NoPARS'!C52-'Table 3.16-Route UAA PARS'!C52</f>
        <v>0</v>
      </c>
      <c r="P52" s="102">
        <f>D52-'Table 3.15-Route UAA NoPARS'!D52-'Table 3.16-Route UAA PARS'!D52</f>
        <v>0</v>
      </c>
      <c r="Q52" s="102">
        <f>J52-'Table 3.15-Route UAA NoPARS'!J52-'Table 3.16-Route UAA PARS'!J52</f>
        <v>0</v>
      </c>
    </row>
    <row r="53" spans="1:17">
      <c r="A53" s="18"/>
      <c r="B53" s="34"/>
      <c r="C53" s="34"/>
      <c r="D53" s="34"/>
      <c r="E53" s="34"/>
      <c r="F53" s="61"/>
      <c r="G53" s="118"/>
      <c r="H53" s="39"/>
      <c r="I53" s="39"/>
      <c r="J53" s="36"/>
      <c r="K53" s="61"/>
      <c r="L53" s="62"/>
    </row>
    <row r="54" spans="1:17" ht="5" customHeight="1">
      <c r="B54" s="42"/>
      <c r="C54" s="42"/>
      <c r="D54" s="42"/>
      <c r="E54" s="30"/>
      <c r="F54" s="31"/>
      <c r="G54" s="118"/>
      <c r="H54" s="39"/>
      <c r="I54" s="39"/>
      <c r="J54" s="32"/>
      <c r="K54" s="31"/>
    </row>
    <row r="55" spans="1:17">
      <c r="A55" s="66" t="s">
        <v>382</v>
      </c>
      <c r="B55" s="42"/>
      <c r="C55" s="42"/>
      <c r="D55" s="42"/>
      <c r="E55" s="30"/>
      <c r="F55" s="31"/>
      <c r="G55" s="118"/>
      <c r="H55" s="39"/>
      <c r="I55" s="39"/>
      <c r="J55" s="32"/>
      <c r="K55" s="31"/>
    </row>
    <row r="56" spans="1:17">
      <c r="A56" s="245" t="s">
        <v>130</v>
      </c>
      <c r="B56" s="34">
        <v>65.696417298862116</v>
      </c>
      <c r="C56" s="36">
        <v>3728.5700293777777</v>
      </c>
      <c r="D56" s="34">
        <v>56734.199880532266</v>
      </c>
      <c r="E56" s="34"/>
      <c r="F56" s="61">
        <f>C56/D56</f>
        <v>6.5719972031494128E-2</v>
      </c>
      <c r="G56" s="118"/>
      <c r="H56" s="39">
        <v>1.3010789984537243</v>
      </c>
      <c r="I56" s="39"/>
      <c r="J56" s="36">
        <f>C56*H56</f>
        <v>4851.1641594874127</v>
      </c>
      <c r="K56" s="61">
        <f>F56*(H56)</f>
        <v>8.5506875389143158E-2</v>
      </c>
      <c r="N56" s="102">
        <f>B56-'Table 3.15-Route UAA NoPARS'!B56-'Table 3.16-Route UAA PARS'!B56</f>
        <v>0</v>
      </c>
      <c r="O56" s="102">
        <f>C56-'Table 3.15-Route UAA NoPARS'!C56-'Table 3.16-Route UAA PARS'!C56</f>
        <v>0</v>
      </c>
      <c r="P56" s="102">
        <f>D56-'Table 3.15-Route UAA NoPARS'!D56-'Table 3.16-Route UAA PARS'!D56</f>
        <v>0</v>
      </c>
      <c r="Q56" s="102">
        <f>J56-'Table 3.15-Route UAA NoPARS'!J56-'Table 3.16-Route UAA PARS'!J56</f>
        <v>0</v>
      </c>
    </row>
    <row r="57" spans="1:17">
      <c r="A57" s="246" t="s">
        <v>131</v>
      </c>
      <c r="B57" s="34">
        <v>25.06643979572361</v>
      </c>
      <c r="C57" s="36">
        <v>1158.1055414103789</v>
      </c>
      <c r="D57" s="34">
        <v>26369.30598635615</v>
      </c>
      <c r="E57" s="34"/>
      <c r="F57" s="61">
        <f>C57/D57</f>
        <v>4.391869630583372E-2</v>
      </c>
      <c r="G57" s="118"/>
      <c r="H57" s="39">
        <v>1.2077066130157168</v>
      </c>
      <c r="I57" s="39"/>
      <c r="J57" s="36">
        <f>C57*H57</f>
        <v>1398.6517209314616</v>
      </c>
      <c r="K57" s="61">
        <f>F57*(H57)</f>
        <v>5.3040899963584312E-2</v>
      </c>
      <c r="N57" s="102">
        <f>B57-'Table 3.15-Route UAA NoPARS'!B57-'Table 3.16-Route UAA PARS'!B57</f>
        <v>0</v>
      </c>
      <c r="O57" s="102">
        <f>C57-'Table 3.15-Route UAA NoPARS'!C57-'Table 3.16-Route UAA PARS'!C57</f>
        <v>0</v>
      </c>
      <c r="P57" s="102">
        <f>D57-'Table 3.15-Route UAA NoPARS'!D57-'Table 3.16-Route UAA PARS'!D57</f>
        <v>0</v>
      </c>
      <c r="Q57" s="102">
        <f>J57-'Table 3.15-Route UAA NoPARS'!J57-'Table 3.16-Route UAA PARS'!J57</f>
        <v>0</v>
      </c>
    </row>
    <row r="58" spans="1:17">
      <c r="A58" s="245" t="s">
        <v>132</v>
      </c>
      <c r="B58" s="24">
        <v>7.6922390719880251</v>
      </c>
      <c r="C58" s="36">
        <v>263.3559357057033</v>
      </c>
      <c r="D58" s="24">
        <v>8404.501727776018</v>
      </c>
      <c r="E58" s="34"/>
      <c r="F58" s="61">
        <f>C58/D58</f>
        <v>3.1335103999721829E-2</v>
      </c>
      <c r="G58" s="118"/>
      <c r="H58" s="39">
        <v>1.4559921991063358</v>
      </c>
      <c r="I58" s="39"/>
      <c r="J58" s="36">
        <f>C58*H58</f>
        <v>383.44418797585371</v>
      </c>
      <c r="K58" s="61">
        <f>F58*(H58)</f>
        <v>4.5623666981780726E-2</v>
      </c>
      <c r="N58" s="102">
        <f>B58-'Table 3.15-Route UAA NoPARS'!B58-'Table 3.16-Route UAA PARS'!B58</f>
        <v>0</v>
      </c>
      <c r="O58" s="102">
        <f>C58-'Table 3.15-Route UAA NoPARS'!C58-'Table 3.16-Route UAA PARS'!C58</f>
        <v>0</v>
      </c>
      <c r="P58" s="102">
        <f>D58-'Table 3.15-Route UAA NoPARS'!D58-'Table 3.16-Route UAA PARS'!D58</f>
        <v>0</v>
      </c>
      <c r="Q58" s="102">
        <f>J58-'Table 3.15-Route UAA NoPARS'!J58-'Table 3.16-Route UAA PARS'!J58</f>
        <v>0</v>
      </c>
    </row>
    <row r="59" spans="1:17">
      <c r="A59" s="245" t="s">
        <v>102</v>
      </c>
      <c r="B59" s="24">
        <v>6.9184845385462629E-2</v>
      </c>
      <c r="C59" s="36">
        <v>3.056268218840966</v>
      </c>
      <c r="D59" s="24">
        <v>150.02583346937294</v>
      </c>
      <c r="E59" s="34"/>
      <c r="F59" s="61">
        <f>C59/D59</f>
        <v>2.0371612996003707E-2</v>
      </c>
      <c r="G59" s="118"/>
      <c r="H59" s="39">
        <v>1.2077066130157168</v>
      </c>
      <c r="I59" s="39"/>
      <c r="J59" s="36">
        <f>C59*H59</f>
        <v>3.6910753390440005</v>
      </c>
      <c r="K59" s="61">
        <f>F59*(H59)</f>
        <v>2.4602931733070595E-2</v>
      </c>
      <c r="N59" s="102">
        <f>B59-'Table 3.15-Route UAA NoPARS'!B59-'Table 3.16-Route UAA PARS'!B59</f>
        <v>0</v>
      </c>
      <c r="O59" s="102">
        <f>C59-'Table 3.15-Route UAA NoPARS'!C59-'Table 3.16-Route UAA PARS'!C59</f>
        <v>0</v>
      </c>
      <c r="P59" s="102">
        <f>D59-'Table 3.15-Route UAA NoPARS'!D59-'Table 3.16-Route UAA PARS'!D59</f>
        <v>0</v>
      </c>
      <c r="Q59" s="102">
        <f>J59-'Table 3.15-Route UAA NoPARS'!J59-'Table 3.16-Route UAA PARS'!J59</f>
        <v>0</v>
      </c>
    </row>
    <row r="60" spans="1:17">
      <c r="A60" s="245" t="s">
        <v>272</v>
      </c>
      <c r="B60" s="24">
        <f>SUM(B56:B59)</f>
        <v>98.524281011959218</v>
      </c>
      <c r="C60" s="36">
        <f>SUM(C56:C59)</f>
        <v>5153.0877747127006</v>
      </c>
      <c r="D60" s="24">
        <f>SUM(D56:D59)</f>
        <v>91658.033428133815</v>
      </c>
      <c r="E60" s="34"/>
      <c r="F60" s="31"/>
      <c r="G60" s="118"/>
      <c r="H60" s="39"/>
      <c r="I60" s="39"/>
      <c r="J60" s="36">
        <f>SUM(J56:J59)</f>
        <v>6636.9511437337715</v>
      </c>
      <c r="K60" s="61">
        <f>SUMPRODUCT(K56:K59,D56:D59)/D60</f>
        <v>7.2409923009504634E-2</v>
      </c>
      <c r="N60" s="102">
        <f>B60-'Table 3.15-Route UAA NoPARS'!B60-'Table 3.16-Route UAA PARS'!B60</f>
        <v>0</v>
      </c>
      <c r="O60" s="102">
        <f>C60-'Table 3.15-Route UAA NoPARS'!C60-'Table 3.16-Route UAA PARS'!C60</f>
        <v>0</v>
      </c>
      <c r="P60" s="102">
        <f>D60-'Table 3.15-Route UAA NoPARS'!D60-'Table 3.16-Route UAA PARS'!D60</f>
        <v>0</v>
      </c>
      <c r="Q60" s="102">
        <f>J60-'Table 3.15-Route UAA NoPARS'!J60-'Table 3.16-Route UAA PARS'!J60</f>
        <v>0</v>
      </c>
    </row>
    <row r="61" spans="1:17" ht="5" customHeight="1">
      <c r="B61" s="34"/>
      <c r="C61" s="34"/>
      <c r="D61" s="34"/>
      <c r="E61" s="34"/>
      <c r="F61" s="31"/>
      <c r="G61" s="118"/>
      <c r="H61" s="39"/>
      <c r="I61" s="39"/>
      <c r="J61" s="32"/>
      <c r="K61" s="31"/>
    </row>
    <row r="62" spans="1:17">
      <c r="A62" s="66" t="s">
        <v>383</v>
      </c>
      <c r="B62" s="4"/>
      <c r="C62" s="4"/>
      <c r="D62" s="4"/>
      <c r="E62" s="4"/>
      <c r="F62" s="4"/>
      <c r="G62" s="4"/>
      <c r="I62" s="4"/>
      <c r="J62" s="4"/>
      <c r="K62" s="4"/>
    </row>
    <row r="63" spans="1:17">
      <c r="A63" s="245" t="s">
        <v>130</v>
      </c>
      <c r="B63" s="34">
        <v>63.758928595435805</v>
      </c>
      <c r="C63" s="36">
        <v>3287.7293982509677</v>
      </c>
      <c r="D63" s="34">
        <v>52900.88885346114</v>
      </c>
      <c r="E63" s="4"/>
      <c r="F63" s="61">
        <f>C63/D63</f>
        <v>6.2148849849351102E-2</v>
      </c>
      <c r="G63" s="4"/>
      <c r="H63" s="39">
        <v>1.3010789984537243</v>
      </c>
      <c r="I63" s="4"/>
      <c r="J63" s="36">
        <f>C63*H63</f>
        <v>4277.5956726632348</v>
      </c>
      <c r="K63" s="61">
        <f>F63*(H63)</f>
        <v>8.0860563317044623E-2</v>
      </c>
      <c r="N63" s="102">
        <f>B63-'Table 3.15-Route UAA NoPARS'!B63-'Table 3.16-Route UAA PARS'!B63</f>
        <v>0</v>
      </c>
      <c r="O63" s="102">
        <f>C63-'Table 3.15-Route UAA NoPARS'!C63-'Table 3.16-Route UAA PARS'!C63</f>
        <v>0</v>
      </c>
      <c r="P63" s="102">
        <f>D63-'Table 3.15-Route UAA NoPARS'!D63-'Table 3.16-Route UAA PARS'!D63</f>
        <v>0</v>
      </c>
      <c r="Q63" s="102">
        <f>J63-'Table 3.15-Route UAA NoPARS'!J63-'Table 3.16-Route UAA PARS'!J63</f>
        <v>0</v>
      </c>
    </row>
    <row r="64" spans="1:17">
      <c r="A64" s="246" t="s">
        <v>131</v>
      </c>
      <c r="B64" s="34">
        <v>22.619780685262331</v>
      </c>
      <c r="C64" s="36">
        <v>1104.5071311507188</v>
      </c>
      <c r="D64" s="34">
        <v>23215.062774399019</v>
      </c>
      <c r="E64" s="4"/>
      <c r="F64" s="61">
        <f>C64/D64</f>
        <v>4.757717615860773E-2</v>
      </c>
      <c r="G64" s="4"/>
      <c r="H64" s="39">
        <v>1.2077066130157168</v>
      </c>
      <c r="I64" s="4"/>
      <c r="J64" s="36">
        <f>C64*H64</f>
        <v>1333.9205664137407</v>
      </c>
      <c r="K64" s="61">
        <f>F64*(H64)</f>
        <v>5.7459270275364252E-2</v>
      </c>
      <c r="N64" s="102">
        <f>B64-'Table 3.15-Route UAA NoPARS'!B64-'Table 3.16-Route UAA PARS'!B64</f>
        <v>0</v>
      </c>
      <c r="O64" s="102">
        <f>C64-'Table 3.15-Route UAA NoPARS'!C64-'Table 3.16-Route UAA PARS'!C64</f>
        <v>1.4210854715202004E-13</v>
      </c>
      <c r="P64" s="102">
        <f>D64-'Table 3.15-Route UAA NoPARS'!D64-'Table 3.16-Route UAA PARS'!D64</f>
        <v>0</v>
      </c>
      <c r="Q64" s="102">
        <f>J64-'Table 3.15-Route UAA NoPARS'!J64-'Table 3.16-Route UAA PARS'!J64</f>
        <v>0</v>
      </c>
    </row>
    <row r="65" spans="1:17">
      <c r="A65" s="245" t="s">
        <v>132</v>
      </c>
      <c r="B65" s="24">
        <v>16.659912675899935</v>
      </c>
      <c r="C65" s="36">
        <v>2699.7863080621278</v>
      </c>
      <c r="D65" s="24">
        <v>8945.9694662528564</v>
      </c>
      <c r="E65" s="4"/>
      <c r="F65" s="61">
        <f>C65/D65</f>
        <v>0.30178800835913994</v>
      </c>
      <c r="G65" s="4"/>
      <c r="H65" s="39">
        <v>1.4559921991063358</v>
      </c>
      <c r="I65" s="4"/>
      <c r="J65" s="36">
        <f>C65*H65</f>
        <v>3930.8678037925529</v>
      </c>
      <c r="K65" s="61">
        <f>F65*(H65)</f>
        <v>0.43940098595474542</v>
      </c>
      <c r="N65" s="102">
        <f>B65-'Table 3.15-Route UAA NoPARS'!B65-'Table 3.16-Route UAA PARS'!B65</f>
        <v>3.1086244689504383E-15</v>
      </c>
      <c r="O65" s="102">
        <f>C65-'Table 3.15-Route UAA NoPARS'!C65-'Table 3.16-Route UAA PARS'!C65</f>
        <v>-2.9842794901924208E-13</v>
      </c>
      <c r="P65" s="102">
        <f>D65-'Table 3.15-Route UAA NoPARS'!D65-'Table 3.16-Route UAA PARS'!D65</f>
        <v>0</v>
      </c>
      <c r="Q65" s="102">
        <f>J65-'Table 3.15-Route UAA NoPARS'!J65-'Table 3.16-Route UAA PARS'!J65</f>
        <v>-2.5579538487363607E-13</v>
      </c>
    </row>
    <row r="66" spans="1:17">
      <c r="A66" s="245" t="s">
        <v>102</v>
      </c>
      <c r="B66" s="24">
        <v>0.24068242894803396</v>
      </c>
      <c r="C66" s="36">
        <v>10.632242571750981</v>
      </c>
      <c r="D66" s="24">
        <v>377.0863290445734</v>
      </c>
      <c r="E66" s="4"/>
      <c r="F66" s="61">
        <f>C66/D66</f>
        <v>2.819577840090352E-2</v>
      </c>
      <c r="G66" s="4"/>
      <c r="H66" s="39">
        <v>1.2077066130157168</v>
      </c>
      <c r="I66" s="4"/>
      <c r="J66" s="36">
        <f>C66*H66</f>
        <v>12.840629665090891</v>
      </c>
      <c r="K66" s="61">
        <f>F66*(H66)</f>
        <v>3.4052228033896896E-2</v>
      </c>
      <c r="N66" s="102">
        <f>B66-'Table 3.15-Route UAA NoPARS'!B66-'Table 3.16-Route UAA PARS'!B66</f>
        <v>0</v>
      </c>
      <c r="O66" s="102">
        <f>C66-'Table 3.15-Route UAA NoPARS'!C66-'Table 3.16-Route UAA PARS'!C66</f>
        <v>0</v>
      </c>
      <c r="P66" s="102">
        <f>D66-'Table 3.15-Route UAA NoPARS'!D66-'Table 3.16-Route UAA PARS'!D66</f>
        <v>0</v>
      </c>
      <c r="Q66" s="102">
        <f>J66-'Table 3.15-Route UAA NoPARS'!J66-'Table 3.16-Route UAA PARS'!J66</f>
        <v>0</v>
      </c>
    </row>
    <row r="67" spans="1:17">
      <c r="A67" s="245" t="s">
        <v>272</v>
      </c>
      <c r="B67" s="24">
        <f>SUM(B63:B66)</f>
        <v>103.2793043855461</v>
      </c>
      <c r="C67" s="36">
        <f>SUM(C63:C66)</f>
        <v>7102.6550800355644</v>
      </c>
      <c r="D67" s="24">
        <f>SUM(D63:D66)</f>
        <v>85439.0074231576</v>
      </c>
      <c r="E67" s="4"/>
      <c r="F67" s="4"/>
      <c r="G67" s="4"/>
      <c r="I67" s="4"/>
      <c r="J67" s="36">
        <f>SUM(J63:J66)</f>
        <v>9555.2246725346195</v>
      </c>
      <c r="K67" s="61">
        <f>SUMPRODUCT(K63:K66,D63:D66)/D67</f>
        <v>0.11183679399750082</v>
      </c>
      <c r="N67" s="102">
        <f>B67-'Table 3.15-Route UAA NoPARS'!B67-'Table 3.16-Route UAA PARS'!B67</f>
        <v>0</v>
      </c>
      <c r="O67" s="102">
        <f>C67-'Table 3.15-Route UAA NoPARS'!C67-'Table 3.16-Route UAA PARS'!C67</f>
        <v>-1.0231815394945443E-12</v>
      </c>
      <c r="P67" s="102">
        <f>D67-'Table 3.15-Route UAA NoPARS'!D67-'Table 3.16-Route UAA PARS'!D67</f>
        <v>0</v>
      </c>
      <c r="Q67" s="102">
        <f>J67-'Table 3.15-Route UAA NoPARS'!J67-'Table 3.16-Route UAA PARS'!J67</f>
        <v>0</v>
      </c>
    </row>
    <row r="68" spans="1:17" ht="5" customHeight="1">
      <c r="A68" s="18"/>
      <c r="B68" s="34"/>
      <c r="C68" s="36"/>
      <c r="D68" s="34"/>
      <c r="E68" s="34"/>
      <c r="F68" s="31"/>
      <c r="G68" s="118"/>
      <c r="H68" s="39"/>
      <c r="I68" s="39"/>
      <c r="J68" s="32"/>
      <c r="K68" s="31"/>
    </row>
    <row r="69" spans="1:17" ht="12.75" customHeight="1">
      <c r="A69" s="66" t="s">
        <v>384</v>
      </c>
      <c r="B69" s="34"/>
      <c r="C69" s="36"/>
      <c r="D69" s="34"/>
      <c r="E69" s="34"/>
      <c r="F69" s="61"/>
      <c r="G69" s="118"/>
      <c r="H69" s="39"/>
      <c r="I69" s="39"/>
      <c r="J69" s="36"/>
      <c r="K69" s="61"/>
    </row>
    <row r="70" spans="1:17" ht="12.75" customHeight="1">
      <c r="A70" s="245" t="s">
        <v>130</v>
      </c>
      <c r="B70" s="34">
        <f t="shared" ref="B70:D73" si="1">SUM(B48,B56,B63)</f>
        <v>189.48385548101041</v>
      </c>
      <c r="C70" s="36">
        <f t="shared" si="1"/>
        <v>10680.528554018296</v>
      </c>
      <c r="D70" s="34">
        <f t="shared" si="1"/>
        <v>158102.80066051337</v>
      </c>
      <c r="E70" s="34"/>
      <c r="F70" s="61">
        <f>C70/D70</f>
        <v>6.7554328635531805E-2</v>
      </c>
      <c r="G70" s="118"/>
      <c r="H70" s="39">
        <v>1.3010789984537243</v>
      </c>
      <c r="I70" s="39"/>
      <c r="J70" s="36">
        <f>C70*H70</f>
        <v>13896.211394018528</v>
      </c>
      <c r="K70" s="61">
        <f>F70*(H70)</f>
        <v>8.7893518242331464E-2</v>
      </c>
      <c r="N70" s="102">
        <f>B70-'Table 3.15-Route UAA NoPARS'!B70-'Table 3.16-Route UAA PARS'!B70</f>
        <v>0</v>
      </c>
      <c r="O70" s="102">
        <f>C70-'Table 3.15-Route UAA NoPARS'!C70-'Table 3.16-Route UAA PARS'!C70</f>
        <v>0</v>
      </c>
      <c r="P70" s="102">
        <f>D70-'Table 3.15-Route UAA NoPARS'!D70-'Table 3.16-Route UAA PARS'!D70</f>
        <v>0</v>
      </c>
      <c r="Q70" s="102">
        <f>J70-'Table 3.15-Route UAA NoPARS'!J70-'Table 3.16-Route UAA PARS'!J70</f>
        <v>0</v>
      </c>
    </row>
    <row r="71" spans="1:17" ht="12.75" customHeight="1">
      <c r="A71" s="246" t="s">
        <v>131</v>
      </c>
      <c r="B71" s="34">
        <f t="shared" si="1"/>
        <v>61.634752289169015</v>
      </c>
      <c r="C71" s="36">
        <f t="shared" si="1"/>
        <v>2845.8784397232321</v>
      </c>
      <c r="D71" s="34">
        <f t="shared" si="1"/>
        <v>71944.166414835898</v>
      </c>
      <c r="E71" s="34"/>
      <c r="F71" s="61">
        <f>C71/D71</f>
        <v>3.9556764384671109E-2</v>
      </c>
      <c r="G71" s="118"/>
      <c r="H71" s="39">
        <v>1.2077066130157168</v>
      </c>
      <c r="I71" s="39"/>
      <c r="J71" s="36">
        <f>C71*H71</f>
        <v>3436.9862114925972</v>
      </c>
      <c r="K71" s="61">
        <f>F71*(H71)</f>
        <v>4.7772965936871879E-2</v>
      </c>
      <c r="N71" s="102">
        <f>B71-'Table 3.15-Route UAA NoPARS'!B71-'Table 3.16-Route UAA PARS'!B71</f>
        <v>0</v>
      </c>
      <c r="O71" s="102">
        <f>C71-'Table 3.15-Route UAA NoPARS'!C71-'Table 3.16-Route UAA PARS'!C71</f>
        <v>0</v>
      </c>
      <c r="P71" s="102">
        <f>D71-'Table 3.15-Route UAA NoPARS'!D71-'Table 3.16-Route UAA PARS'!D71</f>
        <v>0</v>
      </c>
      <c r="Q71" s="102">
        <f>J71-'Table 3.15-Route UAA NoPARS'!J71-'Table 3.16-Route UAA PARS'!J71</f>
        <v>0</v>
      </c>
    </row>
    <row r="72" spans="1:17" ht="12.75" customHeight="1">
      <c r="A72" s="245" t="s">
        <v>132</v>
      </c>
      <c r="B72" s="34">
        <f t="shared" si="1"/>
        <v>30.61896777138826</v>
      </c>
      <c r="C72" s="36">
        <f t="shared" si="1"/>
        <v>3453.1311532648106</v>
      </c>
      <c r="D72" s="34">
        <f t="shared" si="1"/>
        <v>25695.786642774641</v>
      </c>
      <c r="E72" s="34"/>
      <c r="F72" s="61">
        <f>C72/D72</f>
        <v>0.13438511150760163</v>
      </c>
      <c r="G72" s="118"/>
      <c r="H72" s="39">
        <v>1.4559921991063358</v>
      </c>
      <c r="I72" s="39"/>
      <c r="J72" s="36">
        <f>C72*H72</f>
        <v>5027.7320216446287</v>
      </c>
      <c r="K72" s="61">
        <f>F72*(H72)</f>
        <v>0.19566367403110305</v>
      </c>
      <c r="N72" s="102">
        <f>B72-'Table 3.15-Route UAA NoPARS'!B72-'Table 3.16-Route UAA PARS'!B72</f>
        <v>0</v>
      </c>
      <c r="O72" s="102">
        <f>C72-'Table 3.15-Route UAA NoPARS'!C72-'Table 3.16-Route UAA PARS'!C72</f>
        <v>0</v>
      </c>
      <c r="P72" s="102">
        <f>D72-'Table 3.15-Route UAA NoPARS'!D72-'Table 3.16-Route UAA PARS'!D72</f>
        <v>0</v>
      </c>
      <c r="Q72" s="102">
        <f>J72-'Table 3.15-Route UAA NoPARS'!J72-'Table 3.16-Route UAA PARS'!J72</f>
        <v>0</v>
      </c>
    </row>
    <row r="73" spans="1:17" ht="12.75" customHeight="1">
      <c r="A73" s="245" t="s">
        <v>102</v>
      </c>
      <c r="B73" s="34">
        <f t="shared" si="1"/>
        <v>0.53568894094102659</v>
      </c>
      <c r="C73" s="36">
        <f t="shared" si="1"/>
        <v>23.664273241646232</v>
      </c>
      <c r="D73" s="34">
        <f t="shared" si="1"/>
        <v>948.43466857001636</v>
      </c>
      <c r="E73" s="34"/>
      <c r="F73" s="61">
        <f>C73/D73</f>
        <v>2.4950873292438343E-2</v>
      </c>
      <c r="G73" s="118"/>
      <c r="H73" s="39">
        <v>1.2077066130157168</v>
      </c>
      <c r="I73" s="39"/>
      <c r="J73" s="36">
        <f>C73*H73</f>
        <v>28.579499286147026</v>
      </c>
      <c r="K73" s="61">
        <f>F73*(H73)</f>
        <v>3.0133334675795018E-2</v>
      </c>
      <c r="N73" s="102">
        <f>B73-'Table 3.15-Route UAA NoPARS'!B73-'Table 3.16-Route UAA PARS'!B73</f>
        <v>0</v>
      </c>
      <c r="O73" s="102">
        <f>C73-'Table 3.15-Route UAA NoPARS'!C73-'Table 3.16-Route UAA PARS'!C73</f>
        <v>0</v>
      </c>
      <c r="P73" s="102">
        <f>D73-'Table 3.15-Route UAA NoPARS'!D73-'Table 3.16-Route UAA PARS'!D73</f>
        <v>0</v>
      </c>
      <c r="Q73" s="102">
        <f>J73-'Table 3.15-Route UAA NoPARS'!J73-'Table 3.16-Route UAA PARS'!J73</f>
        <v>0</v>
      </c>
    </row>
    <row r="74" spans="1:17" ht="12.75" customHeight="1">
      <c r="A74" s="245" t="s">
        <v>97</v>
      </c>
      <c r="B74" s="34">
        <f>SUM(B70:B73)</f>
        <v>282.27326448250875</v>
      </c>
      <c r="C74" s="36">
        <f>SUM(C70:C73)</f>
        <v>17003.202420247984</v>
      </c>
      <c r="D74" s="34">
        <f>SUM(D70:D73)</f>
        <v>256691.18838669395</v>
      </c>
      <c r="E74" s="34"/>
      <c r="F74" s="31"/>
      <c r="G74" s="118"/>
      <c r="H74" s="39"/>
      <c r="I74" s="39"/>
      <c r="J74" s="36">
        <f>SUM(J70:J73)</f>
        <v>22389.509126441902</v>
      </c>
      <c r="K74" s="61">
        <f>SUMPRODUCT(K70:K73,D70:D73)/D74</f>
        <v>8.722352047672588E-2</v>
      </c>
      <c r="N74" s="102">
        <f>B74-'Table 3.15-Route UAA NoPARS'!B74-'Table 3.16-Route UAA PARS'!B74</f>
        <v>0</v>
      </c>
      <c r="O74" s="102">
        <f>C74-'Table 3.15-Route UAA NoPARS'!C74-'Table 3.16-Route UAA PARS'!C74</f>
        <v>0</v>
      </c>
      <c r="P74" s="102">
        <f>D74-'Table 3.15-Route UAA NoPARS'!D74-'Table 3.16-Route UAA PARS'!D74</f>
        <v>0</v>
      </c>
      <c r="Q74" s="102">
        <f>J74-'Table 3.15-Route UAA NoPARS'!J74-'Table 3.16-Route UAA PARS'!J74</f>
        <v>0</v>
      </c>
    </row>
    <row r="75" spans="1:17" ht="5" customHeight="1">
      <c r="A75" s="18"/>
      <c r="B75" s="34"/>
      <c r="C75" s="36"/>
      <c r="D75" s="34"/>
      <c r="E75" s="34"/>
      <c r="F75" s="31"/>
      <c r="G75" s="118"/>
      <c r="H75" s="39"/>
      <c r="I75" s="39"/>
      <c r="J75" s="32"/>
      <c r="K75" s="31"/>
    </row>
    <row r="76" spans="1:17">
      <c r="A76" s="59"/>
      <c r="B76" s="34"/>
      <c r="C76" s="36"/>
      <c r="D76" s="34"/>
      <c r="E76" s="34"/>
      <c r="F76" s="61"/>
      <c r="G76" s="118"/>
      <c r="H76" s="39"/>
      <c r="I76" s="39"/>
      <c r="J76" s="36"/>
      <c r="K76" s="61"/>
      <c r="L76" s="62"/>
    </row>
    <row r="77" spans="1:17">
      <c r="A77" s="14" t="s">
        <v>280</v>
      </c>
      <c r="B77" s="20"/>
      <c r="C77" s="32"/>
      <c r="D77" s="30"/>
      <c r="E77" s="30"/>
      <c r="F77" s="31"/>
      <c r="G77" s="118"/>
      <c r="H77" s="39"/>
      <c r="I77" s="39"/>
      <c r="J77" s="32"/>
      <c r="K77" s="31"/>
    </row>
    <row r="78" spans="1:17">
      <c r="A78" s="245" t="s">
        <v>130</v>
      </c>
      <c r="B78" s="34">
        <v>453.47600701343293</v>
      </c>
      <c r="C78" s="36">
        <v>29042.464025744812</v>
      </c>
      <c r="D78" s="34">
        <v>915299.2609004511</v>
      </c>
      <c r="E78" s="34"/>
      <c r="F78" s="61">
        <f>C78/D78</f>
        <v>3.1730020187248353E-2</v>
      </c>
      <c r="G78" s="118"/>
      <c r="H78" s="39">
        <v>1.3010789984537243</v>
      </c>
      <c r="I78" s="39"/>
      <c r="J78" s="36">
        <f>C78*H78</f>
        <v>37786.540007244381</v>
      </c>
      <c r="K78" s="61">
        <f>F78*(H78)</f>
        <v>4.1283262886141543E-2</v>
      </c>
      <c r="M78" s="48"/>
      <c r="N78" s="102">
        <f>B78-'Table 3.15-Route UAA NoPARS'!B78-'Table 3.16-Route UAA PARS'!B78</f>
        <v>0</v>
      </c>
      <c r="O78" s="102">
        <f>C78-'Table 3.15-Route UAA NoPARS'!C78-'Table 3.16-Route UAA PARS'!C78</f>
        <v>0</v>
      </c>
      <c r="P78" s="102">
        <f>D78-'Table 3.15-Route UAA NoPARS'!D78-'Table 3.16-Route UAA PARS'!D78</f>
        <v>0</v>
      </c>
      <c r="Q78" s="102">
        <f>J78-'Table 3.15-Route UAA NoPARS'!J78-'Table 3.16-Route UAA PARS'!J78</f>
        <v>0</v>
      </c>
    </row>
    <row r="79" spans="1:17">
      <c r="A79" s="246" t="s">
        <v>131</v>
      </c>
      <c r="B79" s="34">
        <v>136.4834539512226</v>
      </c>
      <c r="C79" s="36">
        <v>5774.9183227304984</v>
      </c>
      <c r="D79" s="34">
        <v>319843.93669332808</v>
      </c>
      <c r="E79" s="34"/>
      <c r="F79" s="61">
        <f>C79/D79</f>
        <v>1.8055425350356383E-2</v>
      </c>
      <c r="G79" s="118"/>
      <c r="H79" s="39">
        <v>1.2077066130157168</v>
      </c>
      <c r="I79" s="39"/>
      <c r="J79" s="36">
        <f>C79*H79</f>
        <v>6974.4070479872544</v>
      </c>
      <c r="K79" s="61">
        <f>F79*(H79)</f>
        <v>2.1805656596437017E-2</v>
      </c>
      <c r="M79" s="48"/>
      <c r="N79" s="102">
        <f>B79-'Table 3.15-Route UAA NoPARS'!B79-'Table 3.16-Route UAA PARS'!B79</f>
        <v>0</v>
      </c>
      <c r="O79" s="102">
        <f>C79-'Table 3.15-Route UAA NoPARS'!C79-'Table 3.16-Route UAA PARS'!C79</f>
        <v>0</v>
      </c>
      <c r="P79" s="102">
        <f>D79-'Table 3.15-Route UAA NoPARS'!D79-'Table 3.16-Route UAA PARS'!D79</f>
        <v>0</v>
      </c>
      <c r="Q79" s="102">
        <f>J79-'Table 3.15-Route UAA NoPARS'!J79-'Table 3.16-Route UAA PARS'!J79</f>
        <v>0</v>
      </c>
    </row>
    <row r="80" spans="1:17">
      <c r="A80" s="245" t="s">
        <v>132</v>
      </c>
      <c r="B80" s="34">
        <v>49.951842453290034</v>
      </c>
      <c r="C80" s="36">
        <v>2561.0009914747075</v>
      </c>
      <c r="D80" s="34">
        <v>128279.89098759049</v>
      </c>
      <c r="E80" s="34"/>
      <c r="F80" s="61">
        <f>C80/D80</f>
        <v>1.9964165636237194E-2</v>
      </c>
      <c r="G80" s="118"/>
      <c r="H80" s="39">
        <v>1.4559921991063358</v>
      </c>
      <c r="I80" s="39"/>
      <c r="J80" s="36">
        <f>C80*H80</f>
        <v>3728.7974654907657</v>
      </c>
      <c r="K80" s="61">
        <f>F80*(H80)</f>
        <v>2.9067669428028131E-2</v>
      </c>
      <c r="M80" s="48"/>
      <c r="N80" s="102">
        <f>B80-'Table 3.15-Route UAA NoPARS'!B80-'Table 3.16-Route UAA PARS'!B80</f>
        <v>0</v>
      </c>
      <c r="O80" s="102">
        <f>C80-'Table 3.15-Route UAA NoPARS'!C80-'Table 3.16-Route UAA PARS'!C80</f>
        <v>0</v>
      </c>
      <c r="P80" s="102">
        <f>D80-'Table 3.15-Route UAA NoPARS'!D80-'Table 3.16-Route UAA PARS'!D80</f>
        <v>0</v>
      </c>
      <c r="Q80" s="102">
        <f>J80-'Table 3.15-Route UAA NoPARS'!J80-'Table 3.16-Route UAA PARS'!J80</f>
        <v>0</v>
      </c>
    </row>
    <row r="81" spans="1:18">
      <c r="A81" s="245" t="s">
        <v>102</v>
      </c>
      <c r="B81" s="34">
        <v>3.4076167361804215</v>
      </c>
      <c r="C81" s="36">
        <v>150.53283236746458</v>
      </c>
      <c r="D81" s="34">
        <v>5555.4601268175193</v>
      </c>
      <c r="E81" s="34"/>
      <c r="F81" s="61">
        <f>C81/D81</f>
        <v>2.7096375265265069E-2</v>
      </c>
      <c r="G81" s="118"/>
      <c r="H81" s="39">
        <v>1.2077066130157168</v>
      </c>
      <c r="I81" s="39"/>
      <c r="J81" s="36">
        <f>C81*H81</f>
        <v>181.79949712617332</v>
      </c>
      <c r="K81" s="61">
        <f>F81*(H81)</f>
        <v>3.2724471596616123E-2</v>
      </c>
      <c r="M81" s="48"/>
      <c r="N81" s="102">
        <f>B81-'Table 3.15-Route UAA NoPARS'!B81-'Table 3.16-Route UAA PARS'!B81</f>
        <v>0</v>
      </c>
      <c r="O81" s="102">
        <f>C81-'Table 3.15-Route UAA NoPARS'!C81-'Table 3.16-Route UAA PARS'!C81</f>
        <v>0</v>
      </c>
      <c r="P81" s="102">
        <f>D81-'Table 3.15-Route UAA NoPARS'!D81-'Table 3.16-Route UAA PARS'!D81</f>
        <v>0</v>
      </c>
      <c r="Q81" s="102">
        <f>J81-'Table 3.15-Route UAA NoPARS'!J81-'Table 3.16-Route UAA PARS'!J81</f>
        <v>0</v>
      </c>
    </row>
    <row r="82" spans="1:18">
      <c r="A82" s="245" t="s">
        <v>97</v>
      </c>
      <c r="B82" s="34">
        <f>SUM(B78:B81)</f>
        <v>643.31892015412609</v>
      </c>
      <c r="C82" s="36">
        <f>SUM(C78:C81)</f>
        <v>37528.916172317477</v>
      </c>
      <c r="D82" s="34">
        <f>SUM(D78:D81)</f>
        <v>1368978.5487081872</v>
      </c>
      <c r="E82" s="34"/>
      <c r="F82" s="61">
        <f>C82/D82</f>
        <v>2.7413808790306457E-2</v>
      </c>
      <c r="G82" s="118"/>
      <c r="H82" s="39"/>
      <c r="I82" s="39"/>
      <c r="J82" s="36">
        <f>SUM(J78:J81)</f>
        <v>48671.544017848573</v>
      </c>
      <c r="K82" s="61">
        <f>SUMPRODUCT(K78:K81,D78:D81)/D82</f>
        <v>3.5553182380963257E-2</v>
      </c>
      <c r="M82" s="48"/>
      <c r="N82" s="102">
        <f>B82-'Table 3.15-Route UAA NoPARS'!B82-'Table 3.16-Route UAA PARS'!B82</f>
        <v>0</v>
      </c>
      <c r="O82" s="102">
        <f>C82-'Table 3.15-Route UAA NoPARS'!C82-'Table 3.16-Route UAA PARS'!C82</f>
        <v>0</v>
      </c>
      <c r="P82" s="102">
        <f>D82-'Table 3.15-Route UAA NoPARS'!D82-'Table 3.16-Route UAA PARS'!D82</f>
        <v>0</v>
      </c>
      <c r="Q82" s="102">
        <f>J82-'Table 3.15-Route UAA NoPARS'!J82-'Table 3.16-Route UAA PARS'!J82</f>
        <v>0</v>
      </c>
    </row>
    <row r="83" spans="1:18" ht="5" customHeight="1">
      <c r="B83" s="42"/>
      <c r="C83" s="36"/>
      <c r="D83" s="34"/>
      <c r="E83" s="34"/>
      <c r="F83" s="35"/>
      <c r="G83" s="20"/>
      <c r="H83" s="40"/>
      <c r="I83" s="40"/>
      <c r="J83" s="36"/>
      <c r="K83" s="31"/>
    </row>
    <row r="84" spans="1:18" ht="12.75" customHeight="1"/>
    <row r="85" spans="1:18" ht="16">
      <c r="A85" s="117" t="s">
        <v>59</v>
      </c>
    </row>
    <row r="86" spans="1:18" ht="16">
      <c r="A86" s="117" t="s">
        <v>780</v>
      </c>
    </row>
    <row r="87" spans="1:18" ht="28">
      <c r="B87" s="138" t="s">
        <v>218</v>
      </c>
      <c r="C87" s="107" t="s">
        <v>212</v>
      </c>
      <c r="D87" s="125" t="s">
        <v>217</v>
      </c>
      <c r="E87" s="125"/>
      <c r="F87" s="126" t="s">
        <v>202</v>
      </c>
      <c r="G87" s="118"/>
      <c r="H87" s="119" t="s">
        <v>241</v>
      </c>
      <c r="I87" s="118"/>
      <c r="J87" s="138" t="s">
        <v>105</v>
      </c>
      <c r="K87" s="31" t="s">
        <v>128</v>
      </c>
    </row>
    <row r="88" spans="1:18">
      <c r="A88" s="17" t="s">
        <v>385</v>
      </c>
      <c r="B88" s="42"/>
      <c r="C88" s="36"/>
      <c r="D88" s="34"/>
      <c r="E88" s="34"/>
      <c r="F88" s="35"/>
      <c r="G88" s="20"/>
      <c r="H88" s="40"/>
      <c r="I88" s="40"/>
      <c r="J88" s="36"/>
      <c r="K88" s="31"/>
      <c r="N88" s="48"/>
    </row>
    <row r="89" spans="1:18">
      <c r="A89" s="18" t="s">
        <v>181</v>
      </c>
      <c r="B89" s="42"/>
      <c r="C89" s="36"/>
      <c r="D89" s="34"/>
      <c r="E89" s="34"/>
      <c r="F89" s="35"/>
      <c r="G89" s="20"/>
      <c r="H89" s="40"/>
      <c r="I89" s="40"/>
      <c r="J89" s="36"/>
      <c r="K89" s="31"/>
      <c r="N89" s="257"/>
      <c r="O89" s="257"/>
      <c r="P89" s="257"/>
    </row>
    <row r="90" spans="1:18" ht="14">
      <c r="A90" s="59" t="s">
        <v>133</v>
      </c>
      <c r="B90" s="41" t="s">
        <v>101</v>
      </c>
      <c r="C90" s="36">
        <f>SUM('Table 3.17-No Record Mail'!F6,'Table 3.17-No Record Mail'!F12)</f>
        <v>12607.032920927599</v>
      </c>
      <c r="D90" s="30">
        <v>191419.54793709339</v>
      </c>
      <c r="E90" s="24" t="s">
        <v>234</v>
      </c>
      <c r="F90" s="61">
        <f>C90/D90</f>
        <v>6.5860739181510738E-2</v>
      </c>
      <c r="G90" s="205" t="s">
        <v>235</v>
      </c>
      <c r="H90" s="39">
        <v>1.2964363113082193</v>
      </c>
      <c r="I90" s="39"/>
      <c r="J90" s="36">
        <f>C90*H90</f>
        <v>16344.215256548663</v>
      </c>
      <c r="K90" s="61">
        <f>F90*(H90)</f>
        <v>8.538425376451049E-2</v>
      </c>
      <c r="N90" s="257"/>
      <c r="O90" s="102">
        <f>C90-'Table 3.15-Route UAA NoPARS'!C90-'Table 3.16-Route UAA PARS'!C90</f>
        <v>0</v>
      </c>
      <c r="P90" s="102">
        <f>D90-'Table 3.15-Route UAA NoPARS'!D90-'Table 3.16-Route UAA PARS'!D90</f>
        <v>0</v>
      </c>
      <c r="Q90" s="102">
        <f>J90-'Table 3.15-Route UAA NoPARS'!J90-'Table 3.16-Route UAA PARS'!J90</f>
        <v>0</v>
      </c>
      <c r="R90" s="257"/>
    </row>
    <row r="91" spans="1:18" ht="14">
      <c r="A91" s="59" t="s">
        <v>774</v>
      </c>
      <c r="B91" s="41" t="s">
        <v>101</v>
      </c>
      <c r="C91" s="36">
        <f>SUM('Table 3.17-No Record Mail'!F7:F8,'Table 3.17-No Record Mail'!F13:F14)</f>
        <v>32476.302046517958</v>
      </c>
      <c r="D91" s="30">
        <v>191419.54793709339</v>
      </c>
      <c r="E91" s="24" t="s">
        <v>234</v>
      </c>
      <c r="F91" s="61">
        <f>C91/D91</f>
        <v>0.16966032151110666</v>
      </c>
      <c r="G91" s="205" t="s">
        <v>235</v>
      </c>
      <c r="H91" s="248">
        <v>1.7055951497654467</v>
      </c>
      <c r="I91" s="39"/>
      <c r="J91" s="36">
        <f>C91*H91</f>
        <v>55391.42325285868</v>
      </c>
      <c r="K91" s="61">
        <f>F91*(H91)</f>
        <v>0.28937182147698981</v>
      </c>
      <c r="L91" s="28"/>
      <c r="M91" s="334"/>
      <c r="O91" s="102">
        <f>C91-'Table 3.15-Route UAA NoPARS'!C91-'Table 3.16-Route UAA PARS'!C91</f>
        <v>0</v>
      </c>
      <c r="P91" s="102">
        <f>D91-'Table 3.15-Route UAA NoPARS'!D91-'Table 3.16-Route UAA PARS'!D91</f>
        <v>0</v>
      </c>
      <c r="Q91" s="102">
        <f>J91-'Table 3.15-Route UAA NoPARS'!J91-'Table 3.16-Route UAA PARS'!J91</f>
        <v>0</v>
      </c>
    </row>
    <row r="92" spans="1:18">
      <c r="A92" s="18" t="s">
        <v>182</v>
      </c>
      <c r="B92" s="41"/>
      <c r="C92" s="32"/>
      <c r="D92" s="30"/>
      <c r="E92" s="30"/>
      <c r="F92" s="31"/>
      <c r="G92" s="118"/>
      <c r="H92" s="39"/>
      <c r="I92" s="39"/>
      <c r="J92" s="32"/>
      <c r="K92" s="31"/>
    </row>
    <row r="93" spans="1:18" ht="14">
      <c r="A93" s="59" t="s">
        <v>133</v>
      </c>
      <c r="B93" s="41" t="s">
        <v>101</v>
      </c>
      <c r="C93" s="36">
        <f>'Table 3.17-No Record Mail'!F18</f>
        <v>1464.6579320979793</v>
      </c>
      <c r="D93" s="30">
        <v>24508.293062906629</v>
      </c>
      <c r="E93" s="24" t="s">
        <v>234</v>
      </c>
      <c r="F93" s="61">
        <f>C93/D93</f>
        <v>5.9761727523763915E-2</v>
      </c>
      <c r="G93" s="205" t="s">
        <v>235</v>
      </c>
      <c r="H93" s="39">
        <v>1.2964363113082193</v>
      </c>
      <c r="I93" s="39"/>
      <c r="J93" s="36">
        <f>C93*H93</f>
        <v>1898.8357268174286</v>
      </c>
      <c r="K93" s="61">
        <f>F93*(H93)</f>
        <v>7.7477273588315382E-2</v>
      </c>
      <c r="O93" s="102">
        <f>C93-'Table 3.15-Route UAA NoPARS'!C93-'Table 3.16-Route UAA PARS'!C93</f>
        <v>0</v>
      </c>
      <c r="P93" s="102">
        <f>D93-'Table 3.15-Route UAA NoPARS'!D93-'Table 3.16-Route UAA PARS'!D93</f>
        <v>0</v>
      </c>
      <c r="Q93" s="102">
        <f>J93-'Table 3.15-Route UAA NoPARS'!J93-'Table 3.16-Route UAA PARS'!J93</f>
        <v>0</v>
      </c>
    </row>
    <row r="94" spans="1:18" ht="14">
      <c r="A94" s="59" t="s">
        <v>774</v>
      </c>
      <c r="B94" s="41" t="s">
        <v>101</v>
      </c>
      <c r="C94" s="36">
        <f>SUM('Table 3.17-No Record Mail'!F19:F20)</f>
        <v>2421.1836049062049</v>
      </c>
      <c r="D94" s="30">
        <v>24508.293062906629</v>
      </c>
      <c r="E94" s="24" t="s">
        <v>234</v>
      </c>
      <c r="F94" s="61">
        <f>C94/D94</f>
        <v>9.8790380818918527E-2</v>
      </c>
      <c r="G94" s="205" t="s">
        <v>235</v>
      </c>
      <c r="H94" s="248">
        <v>1.7055951497654467</v>
      </c>
      <c r="I94" s="40"/>
      <c r="J94" s="36">
        <f>C94*H94</f>
        <v>4129.559013219643</v>
      </c>
      <c r="K94" s="61">
        <f>F94*(H94)</f>
        <v>0.16849639436822886</v>
      </c>
      <c r="L94" s="28"/>
      <c r="M94" s="334"/>
      <c r="O94" s="102">
        <f>C94-'Table 3.15-Route UAA NoPARS'!C94-'Table 3.16-Route UAA PARS'!C94</f>
        <v>0</v>
      </c>
      <c r="P94" s="102">
        <f>D94-'Table 3.15-Route UAA NoPARS'!D94-'Table 3.16-Route UAA PARS'!D94</f>
        <v>0</v>
      </c>
      <c r="Q94" s="102">
        <f>J94-'Table 3.15-Route UAA NoPARS'!J94-'Table 3.16-Route UAA PARS'!J94</f>
        <v>0</v>
      </c>
    </row>
    <row r="95" spans="1:18">
      <c r="A95" s="59"/>
      <c r="B95" s="42"/>
      <c r="C95" s="36"/>
      <c r="D95" s="34"/>
      <c r="E95" s="34"/>
      <c r="F95" s="35"/>
      <c r="G95" s="20"/>
      <c r="H95" s="40"/>
      <c r="I95" s="40"/>
      <c r="J95" s="36"/>
      <c r="K95" s="31"/>
    </row>
    <row r="96" spans="1:18">
      <c r="A96" s="17" t="s">
        <v>386</v>
      </c>
      <c r="B96" s="42"/>
      <c r="C96" s="36"/>
      <c r="D96" s="34"/>
      <c r="E96" s="34"/>
      <c r="F96" s="35"/>
      <c r="G96" s="20"/>
      <c r="H96" s="40"/>
      <c r="I96" s="40"/>
      <c r="J96" s="36"/>
      <c r="K96" s="31"/>
    </row>
    <row r="97" spans="1:17" ht="5" customHeight="1">
      <c r="A97" s="17"/>
      <c r="B97" s="42"/>
      <c r="C97" s="36"/>
      <c r="D97" s="34"/>
      <c r="E97" s="34"/>
      <c r="F97" s="35"/>
      <c r="G97" s="20"/>
      <c r="H97" s="40"/>
      <c r="I97" s="40"/>
      <c r="J97" s="36"/>
      <c r="K97" s="31"/>
    </row>
    <row r="98" spans="1:17">
      <c r="A98" s="60" t="s">
        <v>279</v>
      </c>
      <c r="B98" s="42"/>
      <c r="C98" s="36"/>
      <c r="D98" s="34"/>
      <c r="E98" s="34"/>
      <c r="F98" s="35"/>
      <c r="G98" s="20"/>
      <c r="H98" s="40"/>
      <c r="I98" s="40"/>
      <c r="J98" s="36"/>
      <c r="K98" s="31"/>
    </row>
    <row r="99" spans="1:17" ht="14">
      <c r="A99" s="246" t="s">
        <v>275</v>
      </c>
      <c r="B99" s="41" t="s">
        <v>101</v>
      </c>
      <c r="C99" s="36" t="s">
        <v>101</v>
      </c>
      <c r="D99" s="30">
        <f>D11</f>
        <v>807112.23080083739</v>
      </c>
      <c r="E99" s="30"/>
      <c r="F99" s="41" t="s">
        <v>101</v>
      </c>
      <c r="G99" s="118"/>
      <c r="H99" s="41" t="s">
        <v>101</v>
      </c>
      <c r="I99" s="39"/>
      <c r="J99" s="36">
        <f>J11+SUM($J$90:$J$91)*D99/SUM($D$103,$D$109)</f>
        <v>96395.687251945055</v>
      </c>
      <c r="K99" s="61">
        <f>J99/D99</f>
        <v>0.1194328168664955</v>
      </c>
      <c r="P99" s="102">
        <f>D99-'Table 3.15-Route UAA NoPARS'!D99-'Table 3.16-Route UAA PARS'!D99</f>
        <v>0</v>
      </c>
      <c r="Q99" s="102">
        <f>J99-'Table 3.15-Route UAA NoPARS'!J99-'Table 3.16-Route UAA PARS'!J99</f>
        <v>0</v>
      </c>
    </row>
    <row r="100" spans="1:17" ht="14">
      <c r="A100" s="246" t="s">
        <v>282</v>
      </c>
      <c r="B100" s="41" t="s">
        <v>101</v>
      </c>
      <c r="C100" s="36" t="s">
        <v>101</v>
      </c>
      <c r="D100" s="30">
        <f>D18</f>
        <v>142162.26127558851</v>
      </c>
      <c r="E100" s="30"/>
      <c r="F100" s="41" t="s">
        <v>101</v>
      </c>
      <c r="G100" s="118"/>
      <c r="H100" s="41" t="s">
        <v>101</v>
      </c>
      <c r="I100" s="39"/>
      <c r="J100" s="36">
        <f>J18+SUM($J$90:$J$91)*D100/SUM($D$103,$D$109)</f>
        <v>16745.927050521161</v>
      </c>
      <c r="K100" s="61">
        <f>J100/D100</f>
        <v>0.11779446176688455</v>
      </c>
      <c r="P100" s="102">
        <f>D100-'Table 3.15-Route UAA NoPARS'!D100-'Table 3.16-Route UAA PARS'!D100</f>
        <v>0</v>
      </c>
      <c r="Q100" s="102">
        <f>J100-'Table 3.15-Route UAA NoPARS'!J100-'Table 3.16-Route UAA PARS'!J100</f>
        <v>0</v>
      </c>
    </row>
    <row r="101" spans="1:17" ht="14">
      <c r="A101" s="246" t="s">
        <v>277</v>
      </c>
      <c r="B101" s="41" t="s">
        <v>101</v>
      </c>
      <c r="C101" s="36" t="s">
        <v>101</v>
      </c>
      <c r="D101" s="30">
        <f>D25</f>
        <v>433952.27403853321</v>
      </c>
      <c r="E101" s="30"/>
      <c r="F101" s="41" t="s">
        <v>101</v>
      </c>
      <c r="G101" s="118"/>
      <c r="H101" s="41" t="s">
        <v>101</v>
      </c>
      <c r="I101" s="39"/>
      <c r="J101" s="36">
        <f>J25+SUM($J$90:$J$91)*D101/SUM($D$103,$D$109)</f>
        <v>52025.713903150419</v>
      </c>
      <c r="K101" s="61">
        <f>J101/D101</f>
        <v>0.1198881006406035</v>
      </c>
      <c r="P101" s="102">
        <f>D101-'Table 3.15-Route UAA NoPARS'!D101-'Table 3.16-Route UAA PARS'!D101</f>
        <v>0</v>
      </c>
      <c r="Q101" s="102">
        <f>J101-'Table 3.15-Route UAA NoPARS'!J101-'Table 3.16-Route UAA PARS'!J101</f>
        <v>0</v>
      </c>
    </row>
    <row r="102" spans="1:17" ht="14">
      <c r="A102" s="246" t="s">
        <v>271</v>
      </c>
      <c r="B102" s="41" t="s">
        <v>101</v>
      </c>
      <c r="C102" s="36" t="s">
        <v>101</v>
      </c>
      <c r="D102" s="30">
        <f>D32</f>
        <v>32140.752579787706</v>
      </c>
      <c r="E102" s="30"/>
      <c r="F102" s="41" t="s">
        <v>101</v>
      </c>
      <c r="G102" s="118"/>
      <c r="H102" s="41" t="s">
        <v>101</v>
      </c>
      <c r="I102" s="39"/>
      <c r="J102" s="36">
        <f>J32+SUM($J$90:$J$91)*D102/SUM($D$103,$D$109)</f>
        <v>4787.8551808386901</v>
      </c>
      <c r="K102" s="61">
        <f>J102/D102</f>
        <v>0.14896524805861638</v>
      </c>
      <c r="P102" s="102">
        <f>D102-'Table 3.15-Route UAA NoPARS'!D102-'Table 3.16-Route UAA PARS'!D102</f>
        <v>0</v>
      </c>
      <c r="Q102" s="102">
        <f>J102-'Table 3.15-Route UAA NoPARS'!J102-'Table 3.16-Route UAA PARS'!J102</f>
        <v>0</v>
      </c>
    </row>
    <row r="103" spans="1:17">
      <c r="A103" s="246" t="s">
        <v>276</v>
      </c>
      <c r="B103" s="41"/>
      <c r="C103" s="36"/>
      <c r="D103" s="30">
        <f>SUM(D99:D102)</f>
        <v>1415367.5186947468</v>
      </c>
      <c r="E103" s="30"/>
      <c r="F103" s="41"/>
      <c r="G103" s="118"/>
      <c r="H103" s="41"/>
      <c r="I103" s="39"/>
      <c r="J103" s="36">
        <f>SUM(J99:J102)</f>
        <v>169955.18338645532</v>
      </c>
      <c r="K103" s="61">
        <f>J103/D103</f>
        <v>0.12007848219039825</v>
      </c>
      <c r="P103" s="102">
        <f>D103-'Table 3.15-Route UAA NoPARS'!D103-'Table 3.16-Route UAA PARS'!D103</f>
        <v>0</v>
      </c>
      <c r="Q103" s="102">
        <f>J103-'Table 3.15-Route UAA NoPARS'!J103-'Table 3.16-Route UAA PARS'!J103</f>
        <v>0</v>
      </c>
    </row>
    <row r="104" spans="1:17" ht="5" customHeight="1">
      <c r="A104" s="18"/>
      <c r="B104" s="41"/>
      <c r="C104" s="36"/>
      <c r="D104" s="30"/>
      <c r="E104" s="30"/>
      <c r="F104" s="41"/>
      <c r="G104" s="118"/>
      <c r="H104" s="41"/>
      <c r="I104" s="39"/>
      <c r="J104" s="36"/>
      <c r="K104" s="61"/>
    </row>
    <row r="105" spans="1:17">
      <c r="A105" s="60" t="s">
        <v>387</v>
      </c>
    </row>
    <row r="106" spans="1:17" ht="14">
      <c r="A106" s="246" t="s">
        <v>381</v>
      </c>
      <c r="B106" s="41" t="s">
        <v>101</v>
      </c>
      <c r="C106" s="36" t="s">
        <v>101</v>
      </c>
      <c r="D106" s="30">
        <f>D52</f>
        <v>79594.147535402517</v>
      </c>
      <c r="E106" s="30"/>
      <c r="F106" s="41" t="s">
        <v>101</v>
      </c>
      <c r="G106" s="118"/>
      <c r="H106" s="41" t="s">
        <v>101</v>
      </c>
      <c r="I106" s="39"/>
      <c r="J106" s="36">
        <f>J52+SUM($J$90:$J$91)*D106/SUM($D$103,$D$109)</f>
        <v>9612.1278810114891</v>
      </c>
      <c r="K106" s="61">
        <f t="shared" ref="K106:K111" si="2">J106/D106</f>
        <v>0.12076425439114265</v>
      </c>
      <c r="P106" s="102">
        <f>D106-'Table 3.15-Route UAA NoPARS'!D106-'Table 3.16-Route UAA PARS'!D106</f>
        <v>0</v>
      </c>
      <c r="Q106" s="102">
        <f>J106-'Table 3.15-Route UAA NoPARS'!J106-'Table 3.16-Route UAA PARS'!J106</f>
        <v>0</v>
      </c>
    </row>
    <row r="107" spans="1:17" ht="14">
      <c r="A107" s="246" t="s">
        <v>388</v>
      </c>
      <c r="B107" s="41" t="s">
        <v>101</v>
      </c>
      <c r="C107" s="36" t="s">
        <v>101</v>
      </c>
      <c r="D107" s="30">
        <f>D60</f>
        <v>91658.033428133815</v>
      </c>
      <c r="E107" s="30"/>
      <c r="F107" s="41" t="s">
        <v>101</v>
      </c>
      <c r="G107" s="118"/>
      <c r="H107" s="41" t="s">
        <v>101</v>
      </c>
      <c r="I107" s="39"/>
      <c r="J107" s="36">
        <f>J60+SUM($J$90:$J$91)*D107/SUM($D$103,$D$109)</f>
        <v>10569.317587948297</v>
      </c>
      <c r="K107" s="61">
        <f t="shared" si="2"/>
        <v>0.11531250663626083</v>
      </c>
      <c r="P107" s="102">
        <f>D107-'Table 3.15-Route UAA NoPARS'!D107-'Table 3.16-Route UAA PARS'!D107</f>
        <v>0</v>
      </c>
      <c r="Q107" s="102">
        <f>J107-'Table 3.15-Route UAA NoPARS'!J107-'Table 3.16-Route UAA PARS'!J107</f>
        <v>0</v>
      </c>
    </row>
    <row r="108" spans="1:17" ht="14">
      <c r="A108" s="246" t="s">
        <v>383</v>
      </c>
      <c r="B108" s="41" t="s">
        <v>101</v>
      </c>
      <c r="C108" s="36" t="s">
        <v>101</v>
      </c>
      <c r="D108" s="30">
        <f>D67</f>
        <v>85439.0074231576</v>
      </c>
      <c r="E108" s="30"/>
      <c r="F108" s="41" t="s">
        <v>101</v>
      </c>
      <c r="G108" s="118"/>
      <c r="H108" s="41" t="s">
        <v>101</v>
      </c>
      <c r="I108" s="39"/>
      <c r="J108" s="36">
        <f>J67+SUM($J$90:$J$91)*D108/SUM($D$103,$D$109)</f>
        <v>13220.778833493681</v>
      </c>
      <c r="K108" s="61">
        <f t="shared" si="2"/>
        <v>0.15473937762425702</v>
      </c>
      <c r="P108" s="102">
        <f>D108-'Table 3.15-Route UAA NoPARS'!D108-'Table 3.16-Route UAA PARS'!D108</f>
        <v>0</v>
      </c>
      <c r="Q108" s="102">
        <f>J108-'Table 3.15-Route UAA NoPARS'!J108-'Table 3.16-Route UAA PARS'!J108</f>
        <v>0</v>
      </c>
    </row>
    <row r="109" spans="1:17">
      <c r="A109" s="246" t="s">
        <v>389</v>
      </c>
      <c r="B109" s="41"/>
      <c r="C109" s="36"/>
      <c r="D109" s="30">
        <f>SUM(D106:D108)</f>
        <v>256691.18838669392</v>
      </c>
      <c r="E109" s="30"/>
      <c r="F109" s="41"/>
      <c r="G109" s="118"/>
      <c r="H109" s="41"/>
      <c r="I109" s="39"/>
      <c r="J109" s="36">
        <f>SUM(J106:J108)</f>
        <v>33402.224302453469</v>
      </c>
      <c r="K109" s="61">
        <f t="shared" si="2"/>
        <v>0.1301261041034821</v>
      </c>
      <c r="P109" s="102">
        <f>D109-'Table 3.15-Route UAA NoPARS'!D109-'Table 3.16-Route UAA PARS'!D109</f>
        <v>0</v>
      </c>
      <c r="Q109" s="102">
        <f>J109-'Table 3.15-Route UAA NoPARS'!J109-'Table 3.16-Route UAA PARS'!J109</f>
        <v>0</v>
      </c>
    </row>
    <row r="110" spans="1:17" ht="5" customHeight="1">
      <c r="A110" s="18"/>
      <c r="B110" s="41"/>
      <c r="C110" s="36"/>
      <c r="D110" s="30"/>
      <c r="E110" s="30"/>
      <c r="F110" s="41"/>
      <c r="G110" s="118"/>
      <c r="H110" s="41"/>
      <c r="I110" s="39"/>
      <c r="J110" s="36"/>
      <c r="K110" s="61"/>
    </row>
    <row r="111" spans="1:17" ht="14">
      <c r="A111" s="60" t="s">
        <v>281</v>
      </c>
      <c r="B111" s="41" t="s">
        <v>101</v>
      </c>
      <c r="C111" s="36" t="s">
        <v>101</v>
      </c>
      <c r="D111" s="30">
        <f>D82</f>
        <v>1368978.5487081872</v>
      </c>
      <c r="E111" s="30"/>
      <c r="F111" s="41"/>
      <c r="G111" s="118"/>
      <c r="H111" s="41"/>
      <c r="I111" s="39"/>
      <c r="J111" s="36">
        <f>SUM(J93:J94)+J82</f>
        <v>54699.938757885648</v>
      </c>
      <c r="K111" s="61">
        <f t="shared" si="2"/>
        <v>3.995675374862688E-2</v>
      </c>
      <c r="P111" s="102">
        <f>D111-'Table 3.15-Route UAA NoPARS'!D111-'Table 3.16-Route UAA PARS'!D111</f>
        <v>0</v>
      </c>
      <c r="Q111" s="102">
        <f>J111-'Table 3.15-Route UAA NoPARS'!J111-'Table 3.16-Route UAA PARS'!J111</f>
        <v>0</v>
      </c>
    </row>
    <row r="112" spans="1:17" hidden="1">
      <c r="A112" s="249"/>
      <c r="B112" s="41"/>
      <c r="C112" s="36"/>
      <c r="D112" s="30"/>
      <c r="E112" s="30"/>
      <c r="F112" s="41"/>
      <c r="G112" s="118"/>
      <c r="H112" s="41"/>
      <c r="I112" s="39"/>
      <c r="J112" s="36"/>
      <c r="K112" s="61"/>
    </row>
    <row r="113" spans="1:11" hidden="1">
      <c r="B113" s="50"/>
      <c r="C113" s="51"/>
      <c r="K113" s="52"/>
    </row>
    <row r="114" spans="1:11" hidden="1">
      <c r="A114" s="93" t="s">
        <v>186</v>
      </c>
      <c r="B114" s="247">
        <v>0</v>
      </c>
      <c r="C114" s="247">
        <v>0</v>
      </c>
      <c r="D114" s="247">
        <v>0</v>
      </c>
      <c r="E114" s="94"/>
      <c r="H114" s="92"/>
      <c r="I114" s="93"/>
      <c r="J114" s="247">
        <f>SUM(J103,J109)-J39-J74-SUM(J90:J91)</f>
        <v>0</v>
      </c>
    </row>
    <row r="115" spans="1:11" hidden="1">
      <c r="A115" s="93"/>
      <c r="B115" s="247">
        <v>0</v>
      </c>
      <c r="C115" s="247">
        <v>0</v>
      </c>
      <c r="D115" s="247">
        <v>0</v>
      </c>
      <c r="E115" s="94"/>
      <c r="H115" s="92"/>
      <c r="I115" s="93"/>
      <c r="J115" s="247">
        <f>J111-J82-J93-J94</f>
        <v>0</v>
      </c>
    </row>
    <row r="116" spans="1:11" hidden="1">
      <c r="B116" s="247">
        <v>0</v>
      </c>
      <c r="C116" s="247">
        <v>0</v>
      </c>
      <c r="D116" s="247">
        <v>0</v>
      </c>
      <c r="H116" s="93"/>
      <c r="I116" s="93"/>
      <c r="J116" s="247">
        <v>0</v>
      </c>
    </row>
    <row r="117" spans="1:11" hidden="1">
      <c r="B117" s="247">
        <v>0</v>
      </c>
      <c r="C117" s="247">
        <v>0</v>
      </c>
      <c r="D117" s="247">
        <v>0</v>
      </c>
      <c r="H117" s="20"/>
      <c r="I117" s="20"/>
      <c r="J117" s="247">
        <v>0</v>
      </c>
    </row>
    <row r="118" spans="1:11" hidden="1">
      <c r="B118" s="247"/>
      <c r="C118" s="247"/>
      <c r="D118" s="247">
        <v>-3.2014213502407074E-10</v>
      </c>
      <c r="H118" s="20"/>
      <c r="I118" s="20"/>
      <c r="J118" s="247">
        <v>0</v>
      </c>
    </row>
    <row r="119" spans="1:11">
      <c r="A119" s="103"/>
      <c r="B119" s="210"/>
      <c r="C119" s="211"/>
      <c r="D119" s="203"/>
    </row>
    <row r="120" spans="1:11">
      <c r="A120" s="4" t="s">
        <v>230</v>
      </c>
    </row>
    <row r="121" spans="1:11">
      <c r="A121" s="17" t="s">
        <v>789</v>
      </c>
    </row>
    <row r="122" spans="1:11">
      <c r="A122" s="17" t="s">
        <v>788</v>
      </c>
    </row>
    <row r="123" spans="1:11">
      <c r="A123" s="17" t="s">
        <v>790</v>
      </c>
    </row>
    <row r="124" spans="1:11">
      <c r="A124" s="17" t="s">
        <v>86</v>
      </c>
    </row>
  </sheetData>
  <phoneticPr fontId="0" type="noConversion"/>
  <printOptions horizontalCentered="1"/>
  <pageMargins left="0.75" right="0.75" top="1" bottom="1" header="0.5" footer="0.5"/>
  <pageSetup scale="92" fitToHeight="3" orientation="landscape" r:id="rId1"/>
  <headerFooter alignWithMargins="0">
    <oddFooter>&amp;L&amp;F</oddFooter>
  </headerFooter>
  <rowBreaks count="2" manualBreakCount="2">
    <brk id="41" max="10" man="1"/>
    <brk id="84" max="10"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8"/>
  <dimension ref="A1:N124"/>
  <sheetViews>
    <sheetView zoomScale="70" zoomScaleNormal="70" workbookViewId="0"/>
  </sheetViews>
  <sheetFormatPr baseColWidth="10" defaultColWidth="9.1640625" defaultRowHeight="13"/>
  <cols>
    <col min="1" max="1" width="43.5" style="4" customWidth="1"/>
    <col min="2" max="2" width="11.5" style="47" customWidth="1"/>
    <col min="3" max="3" width="11.5" style="29" customWidth="1"/>
    <col min="4" max="4" width="11.5" style="24" customWidth="1"/>
    <col min="5" max="5" width="2.5" style="24" customWidth="1"/>
    <col min="6" max="6" width="11.5" style="28" customWidth="1"/>
    <col min="7" max="7" width="2.5" style="2" customWidth="1"/>
    <col min="8" max="8" width="11.5" style="4" customWidth="1"/>
    <col min="9" max="9" width="2.5" style="2" customWidth="1"/>
    <col min="10" max="10" width="11.5" style="2" customWidth="1"/>
    <col min="11" max="11" width="11.5" style="28" customWidth="1"/>
    <col min="12" max="12" width="9.1640625" style="4"/>
    <col min="13" max="13" width="11.5" style="4" bestFit="1" customWidth="1"/>
    <col min="14" max="14" width="11.1640625" style="4" bestFit="1" customWidth="1"/>
    <col min="15" max="16384" width="9.1640625" style="4"/>
  </cols>
  <sheetData>
    <row r="1" spans="1:12" ht="15.75" customHeight="1">
      <c r="A1" s="117" t="s">
        <v>665</v>
      </c>
    </row>
    <row r="2" spans="1:12" ht="15.75" customHeight="1">
      <c r="A2" s="117" t="s">
        <v>780</v>
      </c>
    </row>
    <row r="3" spans="1:12" ht="28">
      <c r="B3" s="138" t="s">
        <v>243</v>
      </c>
      <c r="C3" s="107" t="s">
        <v>244</v>
      </c>
      <c r="D3" s="125" t="s">
        <v>245</v>
      </c>
      <c r="E3" s="125"/>
      <c r="F3" s="126" t="s">
        <v>202</v>
      </c>
      <c r="G3" s="118"/>
      <c r="H3" s="119" t="s">
        <v>241</v>
      </c>
      <c r="I3" s="118"/>
      <c r="J3" s="138" t="s">
        <v>105</v>
      </c>
      <c r="K3" s="31" t="s">
        <v>128</v>
      </c>
    </row>
    <row r="4" spans="1:12">
      <c r="A4" s="14" t="s">
        <v>278</v>
      </c>
    </row>
    <row r="5" spans="1:12" ht="5" customHeight="1">
      <c r="A5" s="16"/>
    </row>
    <row r="6" spans="1:12">
      <c r="A6" s="60" t="s">
        <v>270</v>
      </c>
      <c r="B6" s="42"/>
      <c r="C6" s="36"/>
      <c r="D6" s="30"/>
      <c r="E6" s="30"/>
      <c r="F6" s="31"/>
      <c r="G6" s="33"/>
      <c r="H6" s="39"/>
      <c r="I6" s="49"/>
      <c r="J6" s="49"/>
      <c r="K6" s="31"/>
    </row>
    <row r="7" spans="1:12">
      <c r="A7" s="245" t="s">
        <v>130</v>
      </c>
      <c r="B7" s="34">
        <v>57.989732493036527</v>
      </c>
      <c r="C7" s="36">
        <v>2461.3092847716553</v>
      </c>
      <c r="D7" s="34">
        <v>26516.059830351081</v>
      </c>
      <c r="E7" s="34"/>
      <c r="F7" s="61">
        <f>IF(D7&lt;&gt;0,C7/D7,0)</f>
        <v>9.2823341798104045E-2</v>
      </c>
      <c r="G7" s="118"/>
      <c r="H7" s="39">
        <v>1.3010789984537243</v>
      </c>
      <c r="I7" s="39"/>
      <c r="J7" s="36">
        <f>C7*H7</f>
        <v>3202.357819115558</v>
      </c>
      <c r="K7" s="61">
        <f>F7*(H7)</f>
        <v>0.12077050057980494</v>
      </c>
    </row>
    <row r="8" spans="1:12" ht="12.75" customHeight="1">
      <c r="A8" s="246" t="s">
        <v>131</v>
      </c>
      <c r="B8" s="34">
        <v>10.649232412122798</v>
      </c>
      <c r="C8" s="36">
        <v>454.96478156767273</v>
      </c>
      <c r="D8" s="34">
        <v>5242.0776871056833</v>
      </c>
      <c r="E8" s="34"/>
      <c r="F8" s="61">
        <f>IF(D8&lt;&gt;0,C8/D8,0)</f>
        <v>8.6790926942342431E-2</v>
      </c>
      <c r="G8" s="118"/>
      <c r="H8" s="39">
        <v>1.2077066130157168</v>
      </c>
      <c r="I8" s="39"/>
      <c r="J8" s="36">
        <f>C8*H8</f>
        <v>549.46397538852943</v>
      </c>
      <c r="K8" s="61">
        <f>F8*(H8)</f>
        <v>0.10481797641803089</v>
      </c>
    </row>
    <row r="9" spans="1:12">
      <c r="A9" s="245" t="s">
        <v>132</v>
      </c>
      <c r="B9" s="34">
        <v>12.75767109525351</v>
      </c>
      <c r="C9" s="36">
        <v>675.51324413419434</v>
      </c>
      <c r="D9" s="34">
        <v>4633.5212799870578</v>
      </c>
      <c r="E9" s="34"/>
      <c r="F9" s="61">
        <f>IF(D9&lt;&gt;0,C9/D9,0)</f>
        <v>0.14578831159184427</v>
      </c>
      <c r="G9" s="118"/>
      <c r="H9" s="39">
        <v>1.4559921991063358</v>
      </c>
      <c r="I9" s="20"/>
      <c r="J9" s="36">
        <f>C9*H9</f>
        <v>983.54201385240071</v>
      </c>
      <c r="K9" s="61">
        <f>F9*(H9)</f>
        <v>0.21226664439860904</v>
      </c>
    </row>
    <row r="10" spans="1:12">
      <c r="A10" s="245" t="s">
        <v>102</v>
      </c>
      <c r="B10" s="34">
        <v>0.51721058900962114</v>
      </c>
      <c r="C10" s="36">
        <v>22.847984653735612</v>
      </c>
      <c r="D10" s="34">
        <v>385.81650118414188</v>
      </c>
      <c r="E10" s="34"/>
      <c r="F10" s="61">
        <f>IF(D10&lt;&gt;0,C10/D10,0)</f>
        <v>5.9219822334220906E-2</v>
      </c>
      <c r="G10" s="118"/>
      <c r="H10" s="39">
        <v>1.2077066130157168</v>
      </c>
      <c r="I10" s="39"/>
      <c r="J10" s="36">
        <f>C10*H10</f>
        <v>27.593662160398111</v>
      </c>
      <c r="K10" s="61">
        <f>F10*(H10)</f>
        <v>7.1520171054654427E-2</v>
      </c>
    </row>
    <row r="11" spans="1:12">
      <c r="A11" s="245" t="s">
        <v>272</v>
      </c>
      <c r="B11" s="34">
        <f>SUM(B7:B10)</f>
        <v>81.913846589422462</v>
      </c>
      <c r="C11" s="36">
        <f>SUM(C7:C10)</f>
        <v>3614.6352951272579</v>
      </c>
      <c r="D11" s="34">
        <f>SUM(D7:D10)</f>
        <v>36777.475298627964</v>
      </c>
      <c r="E11" s="34"/>
      <c r="F11" s="61">
        <f>IF(D11&lt;&gt;0,C11/D11,0)</f>
        <v>9.8283943249962757E-2</v>
      </c>
      <c r="G11" s="118"/>
      <c r="H11" s="39"/>
      <c r="I11" s="39"/>
      <c r="J11" s="36">
        <f>SUM(J7:J10)</f>
        <v>4762.9574705168861</v>
      </c>
      <c r="K11" s="61">
        <f>SUMPRODUCT(K7:K10,D7:D10)/D11</f>
        <v>0.1295074616145436</v>
      </c>
      <c r="L11" s="62"/>
    </row>
    <row r="12" spans="1:12" ht="5" customHeight="1">
      <c r="A12" s="18"/>
      <c r="B12" s="34"/>
      <c r="C12" s="36"/>
      <c r="D12" s="34"/>
      <c r="E12" s="34"/>
      <c r="F12" s="61"/>
      <c r="G12" s="118"/>
      <c r="H12" s="39"/>
      <c r="I12" s="39"/>
      <c r="J12" s="36"/>
      <c r="K12" s="61"/>
      <c r="L12" s="62"/>
    </row>
    <row r="13" spans="1:12">
      <c r="A13" s="66" t="s">
        <v>378</v>
      </c>
      <c r="B13" s="34"/>
      <c r="C13" s="36"/>
      <c r="D13" s="34"/>
      <c r="E13" s="34"/>
      <c r="F13" s="61"/>
      <c r="G13" s="118"/>
      <c r="H13" s="39"/>
      <c r="I13" s="39"/>
      <c r="J13" s="36"/>
      <c r="K13" s="61"/>
      <c r="L13" s="62"/>
    </row>
    <row r="14" spans="1:12">
      <c r="A14" s="245" t="s">
        <v>130</v>
      </c>
      <c r="B14" s="34">
        <v>5.95560124958633</v>
      </c>
      <c r="C14" s="36">
        <v>274.82613890964677</v>
      </c>
      <c r="D14" s="34">
        <v>2673.5109791439922</v>
      </c>
      <c r="E14" s="34"/>
      <c r="F14" s="61">
        <f>IF(D14&lt;&gt;0,C14/D14,0)</f>
        <v>0.10279596420346136</v>
      </c>
      <c r="G14" s="118"/>
      <c r="H14" s="39">
        <v>1.3010789984537243</v>
      </c>
      <c r="I14" s="39"/>
      <c r="J14" s="36">
        <f>C14*H14</f>
        <v>357.57051756146734</v>
      </c>
      <c r="K14" s="61">
        <f>F14*(H14)</f>
        <v>0.1337456701509244</v>
      </c>
      <c r="L14" s="62"/>
    </row>
    <row r="15" spans="1:12">
      <c r="A15" s="246" t="s">
        <v>131</v>
      </c>
      <c r="B15" s="34">
        <v>4.6144432050258279</v>
      </c>
      <c r="C15" s="36">
        <v>237.69515967637619</v>
      </c>
      <c r="D15" s="34">
        <v>2078.5346413071761</v>
      </c>
      <c r="E15" s="34"/>
      <c r="F15" s="61">
        <f>IF(D15&lt;&gt;0,C15/D15,0)</f>
        <v>0.11435708356868729</v>
      </c>
      <c r="G15" s="118"/>
      <c r="H15" s="39">
        <v>1.2077066130157168</v>
      </c>
      <c r="I15" s="39"/>
      <c r="J15" s="36">
        <f>C15*H15</f>
        <v>287.06601622298626</v>
      </c>
      <c r="K15" s="61">
        <f>F15*(H15)</f>
        <v>0.1381098060710946</v>
      </c>
      <c r="L15" s="62"/>
    </row>
    <row r="16" spans="1:12">
      <c r="A16" s="245" t="s">
        <v>132</v>
      </c>
      <c r="B16" s="34">
        <v>29.171764706231201</v>
      </c>
      <c r="C16" s="36">
        <v>351.74835316910725</v>
      </c>
      <c r="D16" s="34">
        <v>6323.0888098873274</v>
      </c>
      <c r="E16" s="34"/>
      <c r="F16" s="61">
        <f>IF(D16&lt;&gt;0,C16/D16,0)</f>
        <v>5.5629197018248921E-2</v>
      </c>
      <c r="G16" s="118"/>
      <c r="H16" s="39">
        <v>1.4559921991063358</v>
      </c>
      <c r="I16" s="39"/>
      <c r="J16" s="36">
        <f>C16*H16</f>
        <v>512.14285826272055</v>
      </c>
      <c r="K16" s="61">
        <f>F16*(H16)</f>
        <v>8.0995676901119862E-2</v>
      </c>
      <c r="L16" s="62"/>
    </row>
    <row r="17" spans="1:12" ht="12.75" customHeight="1">
      <c r="A17" s="245" t="s">
        <v>102</v>
      </c>
      <c r="B17" s="34">
        <v>0</v>
      </c>
      <c r="C17" s="36">
        <v>0</v>
      </c>
      <c r="D17" s="34">
        <v>0</v>
      </c>
      <c r="E17" s="34"/>
      <c r="F17" s="61">
        <f>IF(D17&lt;&gt;0,C17/D17,0)</f>
        <v>0</v>
      </c>
      <c r="G17" s="118"/>
      <c r="H17" s="39">
        <v>1.2077066130157168</v>
      </c>
      <c r="I17" s="39"/>
      <c r="J17" s="36">
        <f>C17*H17</f>
        <v>0</v>
      </c>
      <c r="K17" s="61">
        <f>F17*(H17)</f>
        <v>0</v>
      </c>
      <c r="L17" s="62"/>
    </row>
    <row r="18" spans="1:12">
      <c r="A18" s="245" t="s">
        <v>272</v>
      </c>
      <c r="B18" s="34">
        <f>SUM(B14:B17)</f>
        <v>39.74180916084336</v>
      </c>
      <c r="C18" s="36">
        <f>SUM(C14:C17)</f>
        <v>864.26965175513033</v>
      </c>
      <c r="D18" s="34">
        <f>SUM(D14:D17)</f>
        <v>11075.134430338496</v>
      </c>
      <c r="E18" s="34"/>
      <c r="F18" s="61">
        <f>IF(D18&lt;&gt;0,C18/D18,0)</f>
        <v>7.8036944579887607E-2</v>
      </c>
      <c r="G18" s="118"/>
      <c r="H18" s="39"/>
      <c r="I18" s="39"/>
      <c r="J18" s="36">
        <f>SUM(J14:J17)</f>
        <v>1156.779392047174</v>
      </c>
      <c r="K18" s="61">
        <f>SUMPRODUCT(K14:K17,D14:D17)/D18</f>
        <v>0.10444833869269962</v>
      </c>
      <c r="L18" s="62"/>
    </row>
    <row r="19" spans="1:12" ht="5" customHeight="1">
      <c r="A19" s="59"/>
      <c r="B19" s="34"/>
      <c r="C19" s="34"/>
      <c r="D19" s="34"/>
      <c r="E19" s="34"/>
      <c r="F19" s="61"/>
      <c r="G19" s="118"/>
      <c r="H19" s="39"/>
      <c r="I19" s="39"/>
      <c r="J19" s="36"/>
      <c r="K19" s="61"/>
      <c r="L19" s="62"/>
    </row>
    <row r="20" spans="1:12" ht="12.75" customHeight="1">
      <c r="A20" s="66" t="s">
        <v>379</v>
      </c>
      <c r="B20" s="34"/>
      <c r="C20" s="34"/>
      <c r="D20" s="34"/>
      <c r="E20" s="34"/>
      <c r="F20" s="61"/>
      <c r="G20" s="118"/>
      <c r="H20" s="39"/>
      <c r="I20" s="39"/>
      <c r="J20" s="36"/>
      <c r="K20" s="61"/>
      <c r="L20" s="62"/>
    </row>
    <row r="21" spans="1:12" ht="12.75" customHeight="1">
      <c r="A21" s="245" t="s">
        <v>130</v>
      </c>
      <c r="B21" s="34">
        <v>27.004157666366439</v>
      </c>
      <c r="C21" s="36">
        <v>1234.4614282197933</v>
      </c>
      <c r="D21" s="34">
        <v>11895.728398517158</v>
      </c>
      <c r="E21" s="34"/>
      <c r="F21" s="61">
        <f>IF(D21&lt;&gt;0,C21/D21,0)</f>
        <v>0.10377350481317925</v>
      </c>
      <c r="G21" s="118"/>
      <c r="H21" s="39">
        <v>1.3010789984537243</v>
      </c>
      <c r="I21" s="39"/>
      <c r="J21" s="36">
        <f>C21*H21</f>
        <v>1606.1318386579628</v>
      </c>
      <c r="K21" s="61">
        <f>F21*(H21)</f>
        <v>0.135017527708364</v>
      </c>
      <c r="L21" s="62"/>
    </row>
    <row r="22" spans="1:12" ht="12.75" customHeight="1">
      <c r="A22" s="246" t="s">
        <v>131</v>
      </c>
      <c r="B22" s="34">
        <v>7.6988297158275794</v>
      </c>
      <c r="C22" s="36">
        <v>394.2829425380848</v>
      </c>
      <c r="D22" s="34">
        <v>3435.3403723603874</v>
      </c>
      <c r="E22" s="34"/>
      <c r="F22" s="61">
        <f>IF(D22&lt;&gt;0,C22/D22,0)</f>
        <v>0.11477259886978157</v>
      </c>
      <c r="G22" s="118"/>
      <c r="H22" s="39">
        <v>1.2077066130157168</v>
      </c>
      <c r="I22" s="39"/>
      <c r="J22" s="36">
        <f>C22*H22</f>
        <v>476.17811710254085</v>
      </c>
      <c r="K22" s="61">
        <f>F22*(H22)</f>
        <v>0.13861162664803539</v>
      </c>
      <c r="L22" s="62"/>
    </row>
    <row r="23" spans="1:12" ht="12.75" customHeight="1">
      <c r="A23" s="245" t="s">
        <v>132</v>
      </c>
      <c r="B23" s="34">
        <v>6.0117841122157367</v>
      </c>
      <c r="C23" s="36">
        <v>361.06452704496297</v>
      </c>
      <c r="D23" s="34">
        <v>2528.2977123931887</v>
      </c>
      <c r="E23" s="34"/>
      <c r="F23" s="61">
        <f>IF(D23&lt;&gt;0,C23/D23,0)</f>
        <v>0.14280933976845364</v>
      </c>
      <c r="G23" s="118"/>
      <c r="H23" s="39">
        <v>1.4559921991063358</v>
      </c>
      <c r="I23" s="39"/>
      <c r="J23" s="36">
        <f>C23*H23</f>
        <v>525.70713475148466</v>
      </c>
      <c r="K23" s="61">
        <f>F23*(H23)</f>
        <v>0.20792928466239471</v>
      </c>
      <c r="L23" s="62"/>
    </row>
    <row r="24" spans="1:12" ht="12.75" customHeight="1">
      <c r="A24" s="245" t="s">
        <v>102</v>
      </c>
      <c r="B24" s="34">
        <v>0</v>
      </c>
      <c r="C24" s="36">
        <v>0</v>
      </c>
      <c r="D24" s="34">
        <v>0</v>
      </c>
      <c r="E24" s="34"/>
      <c r="F24" s="61">
        <f>IF(D24&lt;&gt;0,C24/D24,0)</f>
        <v>0</v>
      </c>
      <c r="G24" s="118"/>
      <c r="H24" s="39">
        <v>1.2077066130157168</v>
      </c>
      <c r="I24" s="39"/>
      <c r="J24" s="36">
        <f>C24*H24</f>
        <v>0</v>
      </c>
      <c r="K24" s="61">
        <f>F24*(H24)</f>
        <v>0</v>
      </c>
      <c r="L24" s="62"/>
    </row>
    <row r="25" spans="1:12" ht="12.75" customHeight="1">
      <c r="A25" s="245" t="s">
        <v>272</v>
      </c>
      <c r="B25" s="34">
        <f>SUM(B21:B24)</f>
        <v>40.714771494409753</v>
      </c>
      <c r="C25" s="36">
        <f>SUM(C21:C24)</f>
        <v>1989.8088978028411</v>
      </c>
      <c r="D25" s="34">
        <f>SUM(D21:D24)</f>
        <v>17859.366483270736</v>
      </c>
      <c r="E25" s="34"/>
      <c r="F25" s="61">
        <f>IF(D25&lt;&gt;0,C25/D25,0)</f>
        <v>0.11141542448701856</v>
      </c>
      <c r="G25" s="118"/>
      <c r="H25" s="39"/>
      <c r="I25" s="39"/>
      <c r="J25" s="36">
        <f>SUM(J21:J24)</f>
        <v>2608.0170905119885</v>
      </c>
      <c r="K25" s="61">
        <f>SUMPRODUCT(K21:K24,D21:D24)/D25</f>
        <v>0.14603077286951785</v>
      </c>
      <c r="L25" s="62"/>
    </row>
    <row r="26" spans="1:12" ht="5" customHeight="1">
      <c r="A26" s="59"/>
      <c r="B26" s="34"/>
      <c r="C26" s="34"/>
      <c r="D26" s="34"/>
      <c r="E26" s="34"/>
      <c r="F26" s="61"/>
      <c r="G26" s="118"/>
      <c r="H26" s="39"/>
      <c r="I26" s="39"/>
      <c r="J26" s="36"/>
      <c r="K26" s="61"/>
      <c r="L26" s="62"/>
    </row>
    <row r="27" spans="1:12" ht="12.75" customHeight="1">
      <c r="A27" s="18" t="s">
        <v>271</v>
      </c>
      <c r="B27" s="34"/>
      <c r="C27" s="34"/>
      <c r="D27" s="34"/>
      <c r="E27" s="34"/>
      <c r="F27" s="61"/>
      <c r="G27" s="118"/>
      <c r="H27" s="39"/>
      <c r="I27" s="39"/>
      <c r="J27" s="36"/>
      <c r="K27" s="61"/>
      <c r="L27" s="62"/>
    </row>
    <row r="28" spans="1:12" ht="12.75" customHeight="1">
      <c r="A28" s="245" t="s">
        <v>130</v>
      </c>
      <c r="B28" s="34">
        <v>24.149467435313699</v>
      </c>
      <c r="C28" s="36">
        <v>1048.0052545726396</v>
      </c>
      <c r="D28" s="34">
        <v>18039.670394545348</v>
      </c>
      <c r="E28" s="34"/>
      <c r="F28" s="61">
        <f>IF(D28&lt;&gt;0,C28/D28,0)</f>
        <v>5.8094479092562844E-2</v>
      </c>
      <c r="G28" s="118"/>
      <c r="H28" s="39">
        <v>1.3010789984537243</v>
      </c>
      <c r="I28" s="39"/>
      <c r="J28" s="36">
        <f>C28*H28</f>
        <v>1363.5376269936103</v>
      </c>
      <c r="K28" s="61">
        <f>F28*(H28)</f>
        <v>7.5585506673442493E-2</v>
      </c>
      <c r="L28" s="62"/>
    </row>
    <row r="29" spans="1:12" ht="12.75" customHeight="1">
      <c r="A29" s="246" t="s">
        <v>131</v>
      </c>
      <c r="B29" s="34">
        <v>12.349276787915469</v>
      </c>
      <c r="C29" s="36">
        <v>311.64939889130193</v>
      </c>
      <c r="D29" s="34">
        <v>9024.3644236259497</v>
      </c>
      <c r="E29" s="34"/>
      <c r="F29" s="61">
        <f>IF(D29&lt;&gt;0,C29/D29,0)</f>
        <v>3.4534221387979208E-2</v>
      </c>
      <c r="G29" s="118"/>
      <c r="H29" s="39">
        <v>1.2077066130157168</v>
      </c>
      <c r="I29" s="39"/>
      <c r="J29" s="36">
        <f>C29*H29</f>
        <v>376.38103998339835</v>
      </c>
      <c r="K29" s="61">
        <f>F29*(H29)</f>
        <v>4.1707207545611295E-2</v>
      </c>
      <c r="L29" s="62"/>
    </row>
    <row r="30" spans="1:12" ht="12.75" customHeight="1">
      <c r="A30" s="245" t="s">
        <v>132</v>
      </c>
      <c r="B30" s="34">
        <v>9.8962025338348685</v>
      </c>
      <c r="C30" s="36">
        <v>1143.4155084023967</v>
      </c>
      <c r="D30" s="34">
        <v>5016.4272462211165</v>
      </c>
      <c r="E30" s="34"/>
      <c r="F30" s="61">
        <f>IF(D30&lt;&gt;0,C30/D30,0)</f>
        <v>0.22793423531931686</v>
      </c>
      <c r="G30" s="118"/>
      <c r="H30" s="39">
        <v>1.4559921991063358</v>
      </c>
      <c r="I30" s="39"/>
      <c r="J30" s="36">
        <f>C30*H30</f>
        <v>1664.8040605710944</v>
      </c>
      <c r="K30" s="61">
        <f>F30*(H30)</f>
        <v>0.33187046853419322</v>
      </c>
      <c r="L30" s="62"/>
    </row>
    <row r="31" spans="1:12" ht="12.75" customHeight="1">
      <c r="A31" s="245" t="s">
        <v>102</v>
      </c>
      <c r="B31" s="34">
        <v>7.8932616255755594E-2</v>
      </c>
      <c r="C31" s="36">
        <v>3.4868798961445053</v>
      </c>
      <c r="D31" s="34">
        <v>60.290515395293582</v>
      </c>
      <c r="E31" s="34"/>
      <c r="F31" s="61">
        <f>IF(D31&lt;&gt;0,C31/D31,0)</f>
        <v>5.7834634076070597E-2</v>
      </c>
      <c r="G31" s="118"/>
      <c r="H31" s="39">
        <v>1.2077066130157168</v>
      </c>
      <c r="I31" s="39"/>
      <c r="J31" s="36">
        <f>C31*H31</f>
        <v>4.2111279093652749</v>
      </c>
      <c r="K31" s="61">
        <f>F31*(H31)</f>
        <v>6.9847270035014578E-2</v>
      </c>
      <c r="L31" s="62"/>
    </row>
    <row r="32" spans="1:12" ht="12.75" customHeight="1">
      <c r="A32" s="245" t="s">
        <v>272</v>
      </c>
      <c r="B32" s="34">
        <f>SUM(B28:B31)</f>
        <v>46.473879373319789</v>
      </c>
      <c r="C32" s="36">
        <f>SUM(C28:C31)</f>
        <v>2506.5570417624826</v>
      </c>
      <c r="D32" s="34">
        <f>SUM(D28:D31)</f>
        <v>32140.752579787706</v>
      </c>
      <c r="E32" s="34"/>
      <c r="F32" s="61">
        <f>IF(D32&lt;&gt;0,C32/D32,0)</f>
        <v>7.7986880846678625E-2</v>
      </c>
      <c r="G32" s="118"/>
      <c r="H32" s="39"/>
      <c r="I32" s="39"/>
      <c r="J32" s="36">
        <f>SUM(J28:J31)</f>
        <v>3408.9338554574679</v>
      </c>
      <c r="K32" s="61">
        <f>SUMPRODUCT(K28:K31,D28:D31)/D32</f>
        <v>0.10606266443186022</v>
      </c>
      <c r="L32" s="62"/>
    </row>
    <row r="33" spans="1:12" ht="5" customHeight="1">
      <c r="A33" s="59"/>
      <c r="B33" s="34"/>
      <c r="C33" s="36"/>
      <c r="D33" s="34"/>
      <c r="E33" s="34"/>
      <c r="F33" s="61"/>
      <c r="G33" s="118"/>
      <c r="H33" s="39"/>
      <c r="I33" s="39"/>
      <c r="J33" s="36"/>
      <c r="K33" s="61"/>
      <c r="L33" s="62"/>
    </row>
    <row r="34" spans="1:12" ht="12.75" customHeight="1">
      <c r="A34" s="66" t="s">
        <v>283</v>
      </c>
      <c r="B34" s="34"/>
      <c r="C34" s="36"/>
      <c r="D34" s="34"/>
      <c r="E34" s="34"/>
      <c r="F34" s="61"/>
      <c r="G34" s="118"/>
      <c r="H34" s="39"/>
      <c r="I34" s="39"/>
      <c r="J34" s="36"/>
      <c r="K34" s="61"/>
      <c r="L34" s="62"/>
    </row>
    <row r="35" spans="1:12">
      <c r="A35" s="245" t="s">
        <v>130</v>
      </c>
      <c r="B35" s="34">
        <f t="shared" ref="B35:D38" si="0">SUM(B7,B14,B21,B28)</f>
        <v>115.098958844303</v>
      </c>
      <c r="C35" s="36">
        <f t="shared" si="0"/>
        <v>5018.6021064737351</v>
      </c>
      <c r="D35" s="34">
        <f t="shared" si="0"/>
        <v>59124.969602557583</v>
      </c>
      <c r="E35" s="34"/>
      <c r="F35" s="61">
        <f>IF(D35&lt;&gt;0,C35/D35,0)</f>
        <v>8.488126319910437E-2</v>
      </c>
      <c r="G35" s="118"/>
      <c r="H35" s="39">
        <v>1.3010789984537243</v>
      </c>
      <c r="I35" s="39"/>
      <c r="J35" s="36">
        <f>SUM(J7,J14,J21,J28)</f>
        <v>6529.5978023285979</v>
      </c>
      <c r="K35" s="61">
        <f>F35*(H35)</f>
        <v>0.11043722891057768</v>
      </c>
      <c r="L35" s="62"/>
    </row>
    <row r="36" spans="1:12">
      <c r="A36" s="246" t="s">
        <v>131</v>
      </c>
      <c r="B36" s="34">
        <f t="shared" si="0"/>
        <v>35.311782120891671</v>
      </c>
      <c r="C36" s="36">
        <f t="shared" si="0"/>
        <v>1398.5922826734356</v>
      </c>
      <c r="D36" s="34">
        <f t="shared" si="0"/>
        <v>19780.317124399196</v>
      </c>
      <c r="E36" s="34"/>
      <c r="F36" s="61">
        <f>IF(D36&lt;&gt;0,C36/D36,0)</f>
        <v>7.0706261880314328E-2</v>
      </c>
      <c r="G36" s="118"/>
      <c r="H36" s="39">
        <v>1.2077066130157168</v>
      </c>
      <c r="I36" s="39"/>
      <c r="J36" s="36">
        <f>SUM(J8,J15,J22,J29)</f>
        <v>1689.0891486974549</v>
      </c>
      <c r="K36" s="61">
        <f>F36*(H36)</f>
        <v>8.5392420054476698E-2</v>
      </c>
      <c r="L36" s="62"/>
    </row>
    <row r="37" spans="1:12">
      <c r="A37" s="245" t="s">
        <v>132</v>
      </c>
      <c r="B37" s="34">
        <f t="shared" si="0"/>
        <v>57.837422447535317</v>
      </c>
      <c r="C37" s="36">
        <f t="shared" si="0"/>
        <v>2531.7416327506612</v>
      </c>
      <c r="D37" s="34">
        <f t="shared" si="0"/>
        <v>18501.335048488691</v>
      </c>
      <c r="E37" s="34"/>
      <c r="F37" s="61">
        <f>IF(D37&lt;&gt;0,C37/D37,0)</f>
        <v>0.13684102396477979</v>
      </c>
      <c r="G37" s="118"/>
      <c r="H37" s="39">
        <v>1.4559921991063358</v>
      </c>
      <c r="I37" s="39"/>
      <c r="J37" s="36">
        <f>SUM(J9,J16,J23,J30)</f>
        <v>3686.1960674377005</v>
      </c>
      <c r="K37" s="61">
        <f>F37*(H37)</f>
        <v>0.19923946341044252</v>
      </c>
      <c r="L37" s="62"/>
    </row>
    <row r="38" spans="1:12">
      <c r="A38" s="245" t="s">
        <v>102</v>
      </c>
      <c r="B38" s="34">
        <f t="shared" si="0"/>
        <v>0.59614320526537679</v>
      </c>
      <c r="C38" s="36">
        <f t="shared" si="0"/>
        <v>26.334864549880116</v>
      </c>
      <c r="D38" s="34">
        <f t="shared" si="0"/>
        <v>446.10701657943548</v>
      </c>
      <c r="E38" s="34"/>
      <c r="F38" s="61">
        <f>IF(D38&lt;&gt;0,C38/D38,0)</f>
        <v>5.9032616773896519E-2</v>
      </c>
      <c r="G38" s="118"/>
      <c r="H38" s="39">
        <v>1.2077066130157168</v>
      </c>
      <c r="I38" s="39"/>
      <c r="J38" s="36">
        <f>SUM(J10,J17,J24,J31)</f>
        <v>31.804790069763385</v>
      </c>
      <c r="K38" s="61">
        <f>F38*(H38)</f>
        <v>7.1294081661457356E-2</v>
      </c>
      <c r="L38" s="62"/>
    </row>
    <row r="39" spans="1:12">
      <c r="A39" s="246" t="s">
        <v>97</v>
      </c>
      <c r="B39" s="34">
        <f>SUM(B35:B38)</f>
        <v>208.84430661799536</v>
      </c>
      <c r="C39" s="36">
        <f>SUM(C35:C38)</f>
        <v>8975.2708864477136</v>
      </c>
      <c r="D39" s="34">
        <f>SUM(D35:D38)</f>
        <v>97852.728792024907</v>
      </c>
      <c r="E39" s="34"/>
      <c r="F39" s="61"/>
      <c r="G39" s="118"/>
      <c r="H39" s="39"/>
      <c r="I39" s="39"/>
      <c r="J39" s="36">
        <f>SUM(J35:J38)</f>
        <v>11936.687808533517</v>
      </c>
      <c r="K39" s="61">
        <f>SUMPRODUCT(K35:K38,D35:D38)/D39</f>
        <v>0.12198625379066964</v>
      </c>
      <c r="L39" s="62"/>
    </row>
    <row r="40" spans="1:12" ht="5" customHeight="1">
      <c r="A40" s="59"/>
      <c r="B40" s="34"/>
      <c r="C40" s="36"/>
      <c r="D40" s="34"/>
      <c r="E40" s="34"/>
      <c r="F40" s="61"/>
      <c r="G40" s="118"/>
      <c r="H40" s="39"/>
      <c r="I40" s="39"/>
      <c r="J40" s="36"/>
      <c r="K40" s="61"/>
      <c r="L40" s="62"/>
    </row>
    <row r="41" spans="1:12">
      <c r="A41" s="59"/>
      <c r="B41" s="34"/>
      <c r="C41" s="36"/>
      <c r="D41" s="34"/>
      <c r="E41" s="34"/>
      <c r="F41" s="61"/>
      <c r="G41" s="118"/>
      <c r="H41" s="39"/>
      <c r="I41" s="39"/>
      <c r="J41" s="36"/>
      <c r="K41" s="61"/>
      <c r="L41" s="62"/>
    </row>
    <row r="42" spans="1:12" ht="16">
      <c r="A42" s="117" t="s">
        <v>50</v>
      </c>
      <c r="L42" s="62"/>
    </row>
    <row r="43" spans="1:12" ht="16">
      <c r="A43" s="117" t="s">
        <v>780</v>
      </c>
      <c r="L43" s="62"/>
    </row>
    <row r="44" spans="1:12" ht="28">
      <c r="B44" s="138" t="s">
        <v>243</v>
      </c>
      <c r="C44" s="107" t="s">
        <v>244</v>
      </c>
      <c r="D44" s="125" t="s">
        <v>245</v>
      </c>
      <c r="E44" s="125"/>
      <c r="F44" s="126" t="s">
        <v>202</v>
      </c>
      <c r="G44" s="118"/>
      <c r="H44" s="119" t="s">
        <v>241</v>
      </c>
      <c r="I44" s="118"/>
      <c r="J44" s="138" t="s">
        <v>105</v>
      </c>
      <c r="K44" s="31" t="s">
        <v>128</v>
      </c>
      <c r="L44" s="62"/>
    </row>
    <row r="45" spans="1:12">
      <c r="A45" s="14" t="s">
        <v>380</v>
      </c>
      <c r="B45" s="34"/>
      <c r="C45" s="36"/>
      <c r="D45" s="34"/>
      <c r="E45" s="34"/>
      <c r="F45" s="61"/>
      <c r="G45" s="118"/>
      <c r="H45" s="39"/>
      <c r="I45" s="39"/>
      <c r="J45" s="36"/>
      <c r="K45" s="61"/>
      <c r="L45" s="62"/>
    </row>
    <row r="46" spans="1:12" ht="5" customHeight="1">
      <c r="A46" s="59"/>
      <c r="B46" s="34"/>
      <c r="C46" s="36"/>
      <c r="D46" s="34"/>
      <c r="E46" s="34"/>
      <c r="F46" s="61"/>
      <c r="G46" s="118"/>
      <c r="H46" s="39"/>
      <c r="I46" s="39"/>
      <c r="J46" s="36"/>
      <c r="K46" s="61"/>
      <c r="L46" s="62"/>
    </row>
    <row r="47" spans="1:12">
      <c r="A47" s="66" t="s">
        <v>381</v>
      </c>
      <c r="B47" s="34"/>
      <c r="C47" s="36"/>
      <c r="D47" s="34"/>
      <c r="E47" s="34"/>
      <c r="F47" s="31"/>
      <c r="G47" s="118"/>
      <c r="H47" s="39"/>
      <c r="I47" s="39"/>
      <c r="J47" s="32"/>
      <c r="K47" s="31"/>
      <c r="L47" s="62"/>
    </row>
    <row r="48" spans="1:12">
      <c r="A48" s="245" t="s">
        <v>130</v>
      </c>
      <c r="B48" s="34">
        <v>20.435103063892868</v>
      </c>
      <c r="C48" s="36">
        <v>729.50667865877153</v>
      </c>
      <c r="D48" s="34">
        <v>11970.74007783496</v>
      </c>
      <c r="E48" s="34"/>
      <c r="F48" s="61">
        <f>IF(D48&lt;&gt;0,C48/D48,0)</f>
        <v>6.0940816851376395E-2</v>
      </c>
      <c r="G48" s="118"/>
      <c r="H48" s="39">
        <v>1.3010789984537243</v>
      </c>
      <c r="I48" s="39"/>
      <c r="J48" s="36">
        <f>C48*H48</f>
        <v>949.14581883465735</v>
      </c>
      <c r="K48" s="61">
        <f>F48*(H48)</f>
        <v>7.9288816953940647E-2</v>
      </c>
      <c r="L48" s="62"/>
    </row>
    <row r="49" spans="1:12">
      <c r="A49" s="246" t="s">
        <v>131</v>
      </c>
      <c r="B49" s="34">
        <v>5.7171247728867849</v>
      </c>
      <c r="C49" s="36">
        <v>264.31521260451711</v>
      </c>
      <c r="D49" s="34">
        <v>4510.1704096224585</v>
      </c>
      <c r="E49" s="34"/>
      <c r="F49" s="61">
        <f>IF(D49&lt;&gt;0,C49/D49,0)</f>
        <v>5.8604262943280375E-2</v>
      </c>
      <c r="G49" s="118"/>
      <c r="H49" s="39">
        <v>1.2077066130157168</v>
      </c>
      <c r="I49" s="39"/>
      <c r="J49" s="36">
        <f>C49*H49</f>
        <v>319.21523018313047</v>
      </c>
      <c r="K49" s="61">
        <f>F49*(H49)</f>
        <v>7.0776755907511618E-2</v>
      </c>
      <c r="L49" s="62"/>
    </row>
    <row r="50" spans="1:12">
      <c r="A50" s="245" t="s">
        <v>132</v>
      </c>
      <c r="B50" s="24">
        <v>3.3616727670964459</v>
      </c>
      <c r="C50" s="36">
        <v>352.85942868025512</v>
      </c>
      <c r="D50" s="24">
        <v>2045.5754412108547</v>
      </c>
      <c r="E50" s="34"/>
      <c r="F50" s="61">
        <f>IF(D50&lt;&gt;0,C50/D50,0)</f>
        <v>0.17249885854680777</v>
      </c>
      <c r="G50" s="118"/>
      <c r="H50" s="39">
        <v>1.4559921991063358</v>
      </c>
      <c r="I50" s="39"/>
      <c r="J50" s="36">
        <f>C50*H50</f>
        <v>513.76057553956991</v>
      </c>
      <c r="K50" s="61">
        <f>F50*(H50)</f>
        <v>0.25115699239889938</v>
      </c>
      <c r="L50" s="62"/>
    </row>
    <row r="51" spans="1:12">
      <c r="A51" s="245" t="s">
        <v>102</v>
      </c>
      <c r="B51" s="24">
        <v>5.2861513366523463E-2</v>
      </c>
      <c r="C51" s="36">
        <v>2.3351784975715209</v>
      </c>
      <c r="D51" s="24">
        <v>46.262173082848136</v>
      </c>
      <c r="E51" s="34"/>
      <c r="F51" s="61">
        <f>IF(D51&lt;&gt;0,C51/D51,0)</f>
        <v>5.0477060240762803E-2</v>
      </c>
      <c r="G51" s="118"/>
      <c r="H51" s="39">
        <v>1.2077066130157168</v>
      </c>
      <c r="I51" s="39"/>
      <c r="J51" s="36">
        <f>C51*H51</f>
        <v>2.8202105140892315</v>
      </c>
      <c r="K51" s="61">
        <f>F51*(H51)</f>
        <v>6.0961479458361945E-2</v>
      </c>
      <c r="L51" s="62"/>
    </row>
    <row r="52" spans="1:12">
      <c r="A52" s="245" t="s">
        <v>272</v>
      </c>
      <c r="B52" s="24">
        <f>SUM(B48:B51)</f>
        <v>29.566762117242622</v>
      </c>
      <c r="C52" s="36">
        <f>SUM(C48:C51)</f>
        <v>1349.0164984411153</v>
      </c>
      <c r="D52" s="24">
        <f>SUM(D48:D51)</f>
        <v>18572.74810175112</v>
      </c>
      <c r="E52" s="34"/>
      <c r="F52" s="31"/>
      <c r="G52" s="118"/>
      <c r="H52" s="39"/>
      <c r="I52" s="39"/>
      <c r="J52" s="36">
        <f>SUM(J48:J51)</f>
        <v>1784.941835071447</v>
      </c>
      <c r="K52" s="61">
        <f>SUMPRODUCT(K48:K51,D48:D51)/D52</f>
        <v>9.6105424210386772E-2</v>
      </c>
      <c r="L52" s="62"/>
    </row>
    <row r="53" spans="1:12">
      <c r="A53" s="18"/>
      <c r="B53" s="34"/>
      <c r="C53" s="34"/>
      <c r="D53" s="34"/>
      <c r="E53" s="34"/>
      <c r="F53" s="61"/>
      <c r="G53" s="118"/>
      <c r="H53" s="39"/>
      <c r="I53" s="39"/>
      <c r="J53" s="36"/>
      <c r="K53" s="61"/>
      <c r="L53" s="62"/>
    </row>
    <row r="54" spans="1:12" ht="5" customHeight="1">
      <c r="B54" s="42"/>
      <c r="C54" s="42"/>
      <c r="D54" s="42"/>
      <c r="E54" s="30"/>
      <c r="F54" s="31"/>
      <c r="G54" s="118"/>
      <c r="H54" s="39"/>
      <c r="I54" s="39"/>
      <c r="J54" s="32"/>
      <c r="K54" s="31"/>
    </row>
    <row r="55" spans="1:12">
      <c r="A55" s="66" t="s">
        <v>382</v>
      </c>
      <c r="B55" s="42"/>
      <c r="C55" s="42"/>
      <c r="D55" s="42"/>
      <c r="E55" s="30"/>
      <c r="F55" s="31"/>
      <c r="G55" s="118"/>
      <c r="H55" s="39"/>
      <c r="I55" s="39"/>
      <c r="J55" s="32"/>
      <c r="K55" s="31"/>
    </row>
    <row r="56" spans="1:12">
      <c r="A56" s="245" t="s">
        <v>130</v>
      </c>
      <c r="B56" s="34">
        <v>43.823522190879139</v>
      </c>
      <c r="C56" s="36">
        <v>2107.3183638192195</v>
      </c>
      <c r="D56" s="34">
        <v>36571.892387611755</v>
      </c>
      <c r="E56" s="34"/>
      <c r="F56" s="61">
        <f>IF(D56&lt;&gt;0,C56/D56,0)</f>
        <v>5.7621255730618021E-2</v>
      </c>
      <c r="G56" s="118"/>
      <c r="H56" s="39">
        <v>1.3010789984537243</v>
      </c>
      <c r="I56" s="39"/>
      <c r="J56" s="36">
        <f>C56*H56</f>
        <v>2741.787666221051</v>
      </c>
      <c r="K56" s="61">
        <f>F56*(H56)</f>
        <v>7.4969805695638422E-2</v>
      </c>
    </row>
    <row r="57" spans="1:12">
      <c r="A57" s="246" t="s">
        <v>131</v>
      </c>
      <c r="B57" s="34">
        <v>20.721062136879983</v>
      </c>
      <c r="C57" s="36">
        <v>989.73085065490375</v>
      </c>
      <c r="D57" s="34">
        <v>16946.448980966477</v>
      </c>
      <c r="E57" s="34"/>
      <c r="F57" s="61">
        <f>IF(D57&lt;&gt;0,C57/D57,0)</f>
        <v>5.8403436127918415E-2</v>
      </c>
      <c r="G57" s="118"/>
      <c r="H57" s="39">
        <v>1.2077066130157168</v>
      </c>
      <c r="I57" s="39"/>
      <c r="J57" s="36">
        <f>C57*H57</f>
        <v>1195.304493441598</v>
      </c>
      <c r="K57" s="61">
        <f>F57*(H57)</f>
        <v>7.0534216034528099E-2</v>
      </c>
    </row>
    <row r="58" spans="1:12">
      <c r="A58" s="245" t="s">
        <v>132</v>
      </c>
      <c r="B58" s="24">
        <v>6.3600040731257597</v>
      </c>
      <c r="C58" s="36">
        <v>200.47136252083595</v>
      </c>
      <c r="D58" s="24">
        <v>5515.5790891864717</v>
      </c>
      <c r="E58" s="34"/>
      <c r="F58" s="61">
        <f>IF(D58&lt;&gt;0,C58/D58,0)</f>
        <v>3.6346385262404926E-2</v>
      </c>
      <c r="G58" s="118"/>
      <c r="H58" s="39">
        <v>1.4559921991063358</v>
      </c>
      <c r="I58" s="39"/>
      <c r="J58" s="36">
        <f>C58*H58</f>
        <v>291.88473997455543</v>
      </c>
      <c r="K58" s="61">
        <f>F58*(H58)</f>
        <v>5.2920053407775065E-2</v>
      </c>
    </row>
    <row r="59" spans="1:12">
      <c r="A59" s="245" t="s">
        <v>102</v>
      </c>
      <c r="B59" s="24">
        <v>0</v>
      </c>
      <c r="C59" s="36">
        <v>0</v>
      </c>
      <c r="D59" s="24">
        <v>0</v>
      </c>
      <c r="E59" s="34"/>
      <c r="F59" s="61">
        <f>IF(D59&lt;&gt;0,C59/D59,0)</f>
        <v>0</v>
      </c>
      <c r="G59" s="118"/>
      <c r="H59" s="39">
        <v>1.2077066130157168</v>
      </c>
      <c r="I59" s="39"/>
      <c r="J59" s="36">
        <f>C59*H59</f>
        <v>0</v>
      </c>
      <c r="K59" s="61">
        <f>F59*(H59)</f>
        <v>0</v>
      </c>
    </row>
    <row r="60" spans="1:12">
      <c r="A60" s="245" t="s">
        <v>272</v>
      </c>
      <c r="B60" s="24">
        <f>SUM(B56:B59)</f>
        <v>70.90458840088489</v>
      </c>
      <c r="C60" s="36">
        <f>SUM(C56:C59)</f>
        <v>3297.5205769949594</v>
      </c>
      <c r="D60" s="24">
        <f>SUM(D56:D59)</f>
        <v>59033.920457764703</v>
      </c>
      <c r="E60" s="34"/>
      <c r="F60" s="31"/>
      <c r="G60" s="118"/>
      <c r="H60" s="39"/>
      <c r="I60" s="39"/>
      <c r="J60" s="36">
        <f>SUM(J56:J59)</f>
        <v>4228.976899637204</v>
      </c>
      <c r="K60" s="61">
        <f>SUMPRODUCT(K56:K59,D56:D59)/D60</f>
        <v>7.1636389161427769E-2</v>
      </c>
    </row>
    <row r="61" spans="1:12" ht="5" customHeight="1">
      <c r="B61" s="34"/>
      <c r="C61" s="34"/>
      <c r="D61" s="34"/>
      <c r="E61" s="34"/>
      <c r="F61" s="31"/>
      <c r="G61" s="118"/>
      <c r="H61" s="39"/>
      <c r="I61" s="39"/>
      <c r="J61" s="32"/>
      <c r="K61" s="31"/>
    </row>
    <row r="62" spans="1:12">
      <c r="A62" s="66" t="s">
        <v>383</v>
      </c>
      <c r="B62" s="4"/>
      <c r="C62" s="4"/>
      <c r="D62" s="4"/>
      <c r="E62" s="4"/>
      <c r="F62" s="4"/>
      <c r="G62" s="4"/>
      <c r="I62" s="4"/>
      <c r="J62" s="4"/>
      <c r="K62" s="4"/>
    </row>
    <row r="63" spans="1:12">
      <c r="A63" s="245" t="s">
        <v>130</v>
      </c>
      <c r="B63" s="34">
        <v>52.826619238762518</v>
      </c>
      <c r="C63" s="36">
        <v>2477.4102948397685</v>
      </c>
      <c r="D63" s="34">
        <v>42823.549673220128</v>
      </c>
      <c r="E63" s="4"/>
      <c r="F63" s="61">
        <f>IF(D63&lt;&gt;0,C63/D63,0)</f>
        <v>5.7851586656045624E-2</v>
      </c>
      <c r="G63" s="4"/>
      <c r="H63" s="39">
        <v>1.3010789984537243</v>
      </c>
      <c r="I63" s="4"/>
      <c r="J63" s="36">
        <f>C63*H63</f>
        <v>3223.3065051690719</v>
      </c>
      <c r="K63" s="61">
        <f>F63*(H63)</f>
        <v>7.526948442540668E-2</v>
      </c>
    </row>
    <row r="64" spans="1:12">
      <c r="A64" s="246" t="s">
        <v>131</v>
      </c>
      <c r="B64" s="34">
        <v>19.818477868634385</v>
      </c>
      <c r="C64" s="36">
        <v>995.96225139734634</v>
      </c>
      <c r="D64" s="34">
        <v>17140.498503521598</v>
      </c>
      <c r="E64" s="4"/>
      <c r="F64" s="61">
        <f>IF(D64&lt;&gt;0,C64/D64,0)</f>
        <v>5.8105792616983752E-2</v>
      </c>
      <c r="G64" s="4"/>
      <c r="H64" s="39">
        <v>1.2077066130157168</v>
      </c>
      <c r="I64" s="4"/>
      <c r="J64" s="36">
        <f>C64*H64</f>
        <v>1202.830197326597</v>
      </c>
      <c r="K64" s="61">
        <f>F64*(H64)</f>
        <v>7.0174749998051095E-2</v>
      </c>
    </row>
    <row r="65" spans="1:13">
      <c r="A65" s="245" t="s">
        <v>132</v>
      </c>
      <c r="B65" s="24">
        <v>15.068428344351716</v>
      </c>
      <c r="C65" s="36">
        <v>2624.6645667737803</v>
      </c>
      <c r="D65" s="24">
        <v>5494.8702845794833</v>
      </c>
      <c r="E65" s="4"/>
      <c r="F65" s="61">
        <f>IF(D65&lt;&gt;0,C65/D65,0)</f>
        <v>0.47765723863209325</v>
      </c>
      <c r="G65" s="4"/>
      <c r="H65" s="39">
        <v>1.4559921991063358</v>
      </c>
      <c r="I65" s="4"/>
      <c r="J65" s="36">
        <f>C65*H65</f>
        <v>3821.4911344934344</v>
      </c>
      <c r="K65" s="61">
        <f>F65*(H65)</f>
        <v>0.69546521329500133</v>
      </c>
    </row>
    <row r="66" spans="1:13">
      <c r="A66" s="245" t="s">
        <v>102</v>
      </c>
      <c r="B66" s="24">
        <v>0.1119817603875201</v>
      </c>
      <c r="C66" s="36">
        <v>4.9468390578228565</v>
      </c>
      <c r="D66" s="24">
        <v>98.001726610616487</v>
      </c>
      <c r="E66" s="4"/>
      <c r="F66" s="61">
        <f>IF(D66&lt;&gt;0,C66/D66,0)</f>
        <v>5.0477060240762817E-2</v>
      </c>
      <c r="G66" s="4"/>
      <c r="H66" s="39">
        <v>1.2077066130157168</v>
      </c>
      <c r="I66" s="4"/>
      <c r="J66" s="36">
        <f>C66*H66</f>
        <v>5.9743302436571017</v>
      </c>
      <c r="K66" s="61">
        <f>F66*(H66)</f>
        <v>6.0961479458361965E-2</v>
      </c>
    </row>
    <row r="67" spans="1:13">
      <c r="A67" s="245" t="s">
        <v>272</v>
      </c>
      <c r="B67" s="24">
        <f>SUM(B63:B66)</f>
        <v>87.825507212136145</v>
      </c>
      <c r="C67" s="36">
        <f>SUM(C63:C66)</f>
        <v>6102.9839520687183</v>
      </c>
      <c r="D67" s="24">
        <f>SUM(D63:D66)</f>
        <v>65556.920187931828</v>
      </c>
      <c r="E67" s="4"/>
      <c r="F67" s="4"/>
      <c r="G67" s="4"/>
      <c r="I67" s="4"/>
      <c r="J67" s="36">
        <f>SUM(J63:J66)</f>
        <v>8253.6021672327606</v>
      </c>
      <c r="K67" s="61">
        <f>SUMPRODUCT(K63:K66,D63:D66)/D67</f>
        <v>0.12589978515726766</v>
      </c>
    </row>
    <row r="68" spans="1:13" ht="5" customHeight="1">
      <c r="A68" s="18"/>
      <c r="B68" s="34"/>
      <c r="C68" s="36"/>
      <c r="D68" s="34"/>
      <c r="E68" s="34"/>
      <c r="F68" s="31"/>
      <c r="G68" s="118"/>
      <c r="H68" s="39"/>
      <c r="I68" s="39"/>
      <c r="J68" s="32"/>
      <c r="K68" s="31"/>
    </row>
    <row r="69" spans="1:13" ht="12.75" customHeight="1">
      <c r="A69" s="66" t="s">
        <v>384</v>
      </c>
      <c r="B69" s="34"/>
      <c r="C69" s="36"/>
      <c r="D69" s="34"/>
      <c r="E69" s="34"/>
      <c r="F69" s="61"/>
      <c r="G69" s="118"/>
      <c r="H69" s="39"/>
      <c r="I69" s="39"/>
      <c r="J69" s="36"/>
      <c r="K69" s="61"/>
    </row>
    <row r="70" spans="1:13" ht="12.75" customHeight="1">
      <c r="A70" s="245" t="s">
        <v>130</v>
      </c>
      <c r="B70" s="34">
        <f t="shared" ref="B70:D73" si="1">SUM(B48,B56,B63)</f>
        <v>117.08524449353452</v>
      </c>
      <c r="C70" s="36">
        <f t="shared" si="1"/>
        <v>5314.2353373177593</v>
      </c>
      <c r="D70" s="34">
        <f t="shared" si="1"/>
        <v>91366.182138666845</v>
      </c>
      <c r="E70" s="34"/>
      <c r="F70" s="61">
        <f>IF(D70&lt;&gt;0,C70/D70,0)</f>
        <v>5.8164139213481875E-2</v>
      </c>
      <c r="G70" s="118"/>
      <c r="H70" s="39">
        <v>1.3010789984537243</v>
      </c>
      <c r="I70" s="39"/>
      <c r="J70" s="36">
        <f>C70*H70</f>
        <v>6914.2399902247798</v>
      </c>
      <c r="K70" s="61">
        <f>F70*(H70)</f>
        <v>7.567613999379999E-2</v>
      </c>
    </row>
    <row r="71" spans="1:13" ht="12.75" customHeight="1">
      <c r="A71" s="246" t="s">
        <v>131</v>
      </c>
      <c r="B71" s="34">
        <f t="shared" si="1"/>
        <v>46.256664778401152</v>
      </c>
      <c r="C71" s="36">
        <f t="shared" si="1"/>
        <v>2250.0083146567672</v>
      </c>
      <c r="D71" s="34">
        <f t="shared" si="1"/>
        <v>38597.117894110532</v>
      </c>
      <c r="E71" s="34"/>
      <c r="F71" s="61">
        <f>IF(D71&lt;&gt;0,C71/D71,0)</f>
        <v>5.8294723477270105E-2</v>
      </c>
      <c r="G71" s="118"/>
      <c r="H71" s="39">
        <v>1.2077066130157168</v>
      </c>
      <c r="I71" s="39"/>
      <c r="J71" s="36">
        <f>C71*H71</f>
        <v>2717.3499209513257</v>
      </c>
      <c r="K71" s="61">
        <f>F71*(H71)</f>
        <v>7.040292304742167E-2</v>
      </c>
    </row>
    <row r="72" spans="1:13" ht="12.75" customHeight="1">
      <c r="A72" s="245" t="s">
        <v>132</v>
      </c>
      <c r="B72" s="34">
        <f t="shared" si="1"/>
        <v>24.790105184573921</v>
      </c>
      <c r="C72" s="36">
        <f t="shared" si="1"/>
        <v>3177.9953579748712</v>
      </c>
      <c r="D72" s="34">
        <f t="shared" si="1"/>
        <v>13056.024814976809</v>
      </c>
      <c r="E72" s="34"/>
      <c r="F72" s="61">
        <f>IF(D72&lt;&gt;0,C72/D72,0)</f>
        <v>0.24341217200578033</v>
      </c>
      <c r="G72" s="118"/>
      <c r="H72" s="39">
        <v>1.4559921991063358</v>
      </c>
      <c r="I72" s="39"/>
      <c r="J72" s="36">
        <f>C72*H72</f>
        <v>4627.1364500075597</v>
      </c>
      <c r="K72" s="61">
        <f>F72*(H72)</f>
        <v>0.35440622360794577</v>
      </c>
    </row>
    <row r="73" spans="1:13" ht="12.75" customHeight="1">
      <c r="A73" s="245" t="s">
        <v>102</v>
      </c>
      <c r="B73" s="34">
        <f t="shared" si="1"/>
        <v>0.16484327375404356</v>
      </c>
      <c r="C73" s="36">
        <f t="shared" si="1"/>
        <v>7.2820175553943773</v>
      </c>
      <c r="D73" s="34">
        <f t="shared" si="1"/>
        <v>144.26389969346462</v>
      </c>
      <c r="E73" s="34"/>
      <c r="F73" s="61">
        <f>IF(D73&lt;&gt;0,C73/D73,0)</f>
        <v>5.047706024076281E-2</v>
      </c>
      <c r="G73" s="118"/>
      <c r="H73" s="39">
        <v>1.2077066130157168</v>
      </c>
      <c r="I73" s="39"/>
      <c r="J73" s="36">
        <f>C73*H73</f>
        <v>8.7945407577463328</v>
      </c>
      <c r="K73" s="61">
        <f>F73*(H73)</f>
        <v>6.0961479458361958E-2</v>
      </c>
    </row>
    <row r="74" spans="1:13" ht="12.75" customHeight="1">
      <c r="A74" s="245" t="s">
        <v>97</v>
      </c>
      <c r="B74" s="34">
        <f>SUM(B70:B73)</f>
        <v>188.29685773026361</v>
      </c>
      <c r="C74" s="36">
        <f>SUM(C70:C73)</f>
        <v>10749.521027504792</v>
      </c>
      <c r="D74" s="34">
        <f>SUM(D70:D73)</f>
        <v>143163.58874744765</v>
      </c>
      <c r="E74" s="34"/>
      <c r="F74" s="31"/>
      <c r="G74" s="118"/>
      <c r="H74" s="39"/>
      <c r="I74" s="39"/>
      <c r="J74" s="36">
        <f>SUM(J70:J73)</f>
        <v>14267.520901941412</v>
      </c>
      <c r="K74" s="61">
        <f>SUMPRODUCT(K70:K73,D70:D73)/D74</f>
        <v>9.9658865964239646E-2</v>
      </c>
    </row>
    <row r="75" spans="1:13" ht="5" customHeight="1">
      <c r="A75" s="18"/>
      <c r="B75" s="34"/>
      <c r="C75" s="36"/>
      <c r="D75" s="34"/>
      <c r="E75" s="34"/>
      <c r="F75" s="31"/>
      <c r="G75" s="118"/>
      <c r="H75" s="39"/>
      <c r="I75" s="39"/>
      <c r="J75" s="32"/>
      <c r="K75" s="31"/>
    </row>
    <row r="76" spans="1:13">
      <c r="A76" s="59"/>
      <c r="B76" s="34"/>
      <c r="C76" s="36"/>
      <c r="D76" s="34"/>
      <c r="E76" s="34"/>
      <c r="F76" s="61"/>
      <c r="G76" s="118"/>
      <c r="H76" s="39"/>
      <c r="I76" s="39"/>
      <c r="J76" s="36"/>
      <c r="K76" s="61"/>
      <c r="L76" s="62"/>
    </row>
    <row r="77" spans="1:13">
      <c r="A77" s="14" t="s">
        <v>280</v>
      </c>
      <c r="B77" s="20"/>
      <c r="C77" s="32"/>
      <c r="D77" s="30"/>
      <c r="E77" s="30"/>
      <c r="F77" s="31"/>
      <c r="G77" s="118"/>
      <c r="H77" s="39"/>
      <c r="I77" s="39"/>
      <c r="J77" s="32"/>
      <c r="K77" s="31"/>
    </row>
    <row r="78" spans="1:13">
      <c r="A78" s="245" t="s">
        <v>130</v>
      </c>
      <c r="B78" s="34">
        <v>216.36693659728252</v>
      </c>
      <c r="C78" s="36">
        <v>11467.585463330581</v>
      </c>
      <c r="D78" s="34">
        <v>297362.68073619442</v>
      </c>
      <c r="E78" s="34"/>
      <c r="F78" s="61">
        <f>IF(D78&lt;&gt;0,C78/D78,0)</f>
        <v>3.8564306169623419E-2</v>
      </c>
      <c r="G78" s="118"/>
      <c r="H78" s="39">
        <v>1.3010789984537243</v>
      </c>
      <c r="I78" s="39"/>
      <c r="J78" s="36">
        <f>C78*H78</f>
        <v>14920.23460931264</v>
      </c>
      <c r="K78" s="61">
        <f>F78*(H78)</f>
        <v>5.0175208847236419E-2</v>
      </c>
      <c r="M78" s="48"/>
    </row>
    <row r="79" spans="1:13">
      <c r="A79" s="246" t="s">
        <v>131</v>
      </c>
      <c r="B79" s="34">
        <v>60.18778199800402</v>
      </c>
      <c r="C79" s="36">
        <v>2818.6136745119734</v>
      </c>
      <c r="D79" s="34">
        <v>82455.258821688549</v>
      </c>
      <c r="E79" s="34"/>
      <c r="F79" s="61">
        <f>IF(D79&lt;&gt;0,C79/D79,0)</f>
        <v>3.4183552568882142E-2</v>
      </c>
      <c r="G79" s="118"/>
      <c r="H79" s="39">
        <v>1.2077066130157168</v>
      </c>
      <c r="I79" s="39"/>
      <c r="J79" s="36">
        <f>C79*H79</f>
        <v>3404.0583742446393</v>
      </c>
      <c r="K79" s="61">
        <f>F79*(H79)</f>
        <v>4.128370249380936E-2</v>
      </c>
      <c r="M79" s="48"/>
    </row>
    <row r="80" spans="1:13">
      <c r="A80" s="245" t="s">
        <v>132</v>
      </c>
      <c r="B80" s="34">
        <v>14.472993603290977</v>
      </c>
      <c r="C80" s="36">
        <v>742.02169824456632</v>
      </c>
      <c r="D80" s="34">
        <v>17889.919901508216</v>
      </c>
      <c r="E80" s="34"/>
      <c r="F80" s="61">
        <f>IF(D80&lt;&gt;0,C80/D80,0)</f>
        <v>4.1477083314498793E-2</v>
      </c>
      <c r="G80" s="118"/>
      <c r="H80" s="39">
        <v>1.4559921991063358</v>
      </c>
      <c r="I80" s="39"/>
      <c r="J80" s="36">
        <f>C80*H80</f>
        <v>1080.377804211724</v>
      </c>
      <c r="K80" s="61">
        <f>F80*(H80)</f>
        <v>6.0390309747593802E-2</v>
      </c>
      <c r="M80" s="48"/>
    </row>
    <row r="81" spans="1:14">
      <c r="A81" s="245" t="s">
        <v>102</v>
      </c>
      <c r="B81" s="34">
        <v>2.0681921567521475</v>
      </c>
      <c r="C81" s="36">
        <v>91.363215801388804</v>
      </c>
      <c r="D81" s="34">
        <v>1387.9336881721176</v>
      </c>
      <c r="E81" s="34"/>
      <c r="F81" s="61">
        <f>IF(D81&lt;&gt;0,C81/D81,0)</f>
        <v>6.5826787389037605E-2</v>
      </c>
      <c r="G81" s="118"/>
      <c r="H81" s="39">
        <v>1.2077066130157168</v>
      </c>
      <c r="I81" s="39"/>
      <c r="J81" s="36">
        <f>C81*H81</f>
        <v>110.3399599097193</v>
      </c>
      <c r="K81" s="61">
        <f>F81*(H81)</f>
        <v>7.9499446443320312E-2</v>
      </c>
      <c r="M81" s="48"/>
    </row>
    <row r="82" spans="1:14">
      <c r="A82" s="245" t="s">
        <v>97</v>
      </c>
      <c r="B82" s="34">
        <f>SUM(B78:B81)</f>
        <v>293.09590435532971</v>
      </c>
      <c r="C82" s="36">
        <f>SUM(C78:C81)</f>
        <v>15119.584051888507</v>
      </c>
      <c r="D82" s="34">
        <f>SUM(D78:D81)</f>
        <v>399095.79314756329</v>
      </c>
      <c r="E82" s="34"/>
      <c r="F82" s="61">
        <f>IF(D82&lt;&gt;0,C82/D82,0)</f>
        <v>3.7884598914572201E-2</v>
      </c>
      <c r="G82" s="118"/>
      <c r="H82" s="39"/>
      <c r="I82" s="39"/>
      <c r="J82" s="36">
        <f>SUM(J78:J81)</f>
        <v>19515.010747678723</v>
      </c>
      <c r="K82" s="61">
        <f>SUMPRODUCT(K78:K81,D78:D81)/D82</f>
        <v>4.8898061775517553E-2</v>
      </c>
      <c r="M82" s="48"/>
    </row>
    <row r="83" spans="1:14" ht="5" customHeight="1">
      <c r="B83" s="42"/>
      <c r="C83" s="36"/>
      <c r="D83" s="34"/>
      <c r="E83" s="34"/>
      <c r="F83" s="35"/>
      <c r="G83" s="20"/>
      <c r="H83" s="40"/>
      <c r="I83" s="40"/>
      <c r="J83" s="36"/>
      <c r="K83" s="31"/>
    </row>
    <row r="84" spans="1:14" ht="12.75" customHeight="1"/>
    <row r="85" spans="1:14" ht="16">
      <c r="A85" s="117" t="s">
        <v>51</v>
      </c>
    </row>
    <row r="86" spans="1:14" ht="16">
      <c r="A86" s="117" t="s">
        <v>780</v>
      </c>
    </row>
    <row r="87" spans="1:14" ht="28">
      <c r="B87" s="138" t="s">
        <v>218</v>
      </c>
      <c r="C87" s="107" t="s">
        <v>212</v>
      </c>
      <c r="D87" s="125" t="s">
        <v>217</v>
      </c>
      <c r="E87" s="125"/>
      <c r="F87" s="126" t="s">
        <v>202</v>
      </c>
      <c r="G87" s="118"/>
      <c r="H87" s="119" t="s">
        <v>241</v>
      </c>
      <c r="I87" s="118"/>
      <c r="J87" s="138" t="s">
        <v>105</v>
      </c>
      <c r="K87" s="31" t="s">
        <v>128</v>
      </c>
    </row>
    <row r="88" spans="1:14">
      <c r="A88" s="17" t="s">
        <v>385</v>
      </c>
      <c r="B88" s="42"/>
      <c r="C88" s="36"/>
      <c r="D88" s="34"/>
      <c r="E88" s="34"/>
      <c r="F88" s="35"/>
      <c r="G88" s="20"/>
      <c r="H88" s="40"/>
      <c r="I88" s="40"/>
      <c r="J88" s="36"/>
      <c r="K88" s="31"/>
      <c r="N88" s="48"/>
    </row>
    <row r="89" spans="1:14">
      <c r="A89" s="18" t="s">
        <v>181</v>
      </c>
      <c r="B89" s="42"/>
      <c r="C89" s="36"/>
      <c r="D89" s="34"/>
      <c r="E89" s="34"/>
      <c r="F89" s="35"/>
      <c r="G89" s="20"/>
      <c r="H89" s="40"/>
      <c r="I89" s="40"/>
      <c r="J89" s="36"/>
      <c r="K89" s="31"/>
      <c r="N89" s="48"/>
    </row>
    <row r="90" spans="1:14" ht="14">
      <c r="A90" s="59" t="s">
        <v>133</v>
      </c>
      <c r="B90" s="41" t="s">
        <v>101</v>
      </c>
      <c r="C90" s="36">
        <f>'Table 3.14-Route UAA'!C90*SUM($D$103,$D$109)/SUM($D$103,$D$109,'Table 3.16-Route UAA PARS'!$D$103,'Table 3.16-Route UAA PARS'!$D$109)</f>
        <v>1817.2212714974214</v>
      </c>
      <c r="D90" s="30">
        <f>'Table 3.14-Route UAA'!D90*SUM($D$103,$D$109)/SUM($D$103,$D$109,'Table 3.16-Route UAA PARS'!$D$103,'Table 3.16-Route UAA PARS'!$D$109)</f>
        <v>27591.874826809948</v>
      </c>
      <c r="E90" s="24" t="s">
        <v>234</v>
      </c>
      <c r="F90" s="61">
        <f>IF(D90&lt;&gt;0,C90/D90,0)</f>
        <v>6.5860739181510725E-2</v>
      </c>
      <c r="G90" s="205" t="s">
        <v>235</v>
      </c>
      <c r="H90" s="39">
        <v>1.2964363113082193</v>
      </c>
      <c r="I90" s="39"/>
      <c r="J90" s="36">
        <f>C90*H90</f>
        <v>2355.911642050949</v>
      </c>
      <c r="K90" s="61">
        <f>F90*(H90)</f>
        <v>8.5384253764510476E-2</v>
      </c>
    </row>
    <row r="91" spans="1:14" ht="14">
      <c r="A91" s="59" t="s">
        <v>774</v>
      </c>
      <c r="B91" s="41" t="s">
        <v>101</v>
      </c>
      <c r="C91" s="36">
        <f>'Table 3.14-Route UAA'!C91*SUM($D$103,$D$109)/SUM($D$103,$D$109,'Table 3.16-Route UAA PARS'!$D$103,'Table 3.16-Route UAA PARS'!$D$109)</f>
        <v>4681.2463542107862</v>
      </c>
      <c r="D91" s="30">
        <f>'Table 3.14-Route UAA'!D91*SUM($D$103,$D$109)/SUM($D$103,$D$109,'Table 3.16-Route UAA PARS'!$D$103,'Table 3.16-Route UAA PARS'!$D$109)</f>
        <v>27591.874826809948</v>
      </c>
      <c r="E91" s="24" t="s">
        <v>234</v>
      </c>
      <c r="F91" s="61">
        <f>IF(D91&lt;&gt;0,C91/D91,0)</f>
        <v>0.16966032151110666</v>
      </c>
      <c r="G91" s="205" t="s">
        <v>235</v>
      </c>
      <c r="H91" s="248">
        <v>1.7055951497654467</v>
      </c>
      <c r="I91" s="39"/>
      <c r="J91" s="36">
        <f>C91*H91</f>
        <v>7984.3110765990969</v>
      </c>
      <c r="K91" s="61">
        <f>F91*(H91)</f>
        <v>0.28937182147698981</v>
      </c>
      <c r="L91" s="28"/>
      <c r="M91" s="334"/>
    </row>
    <row r="92" spans="1:14">
      <c r="A92" s="18" t="s">
        <v>182</v>
      </c>
      <c r="B92" s="41"/>
      <c r="C92" s="36"/>
      <c r="D92" s="30"/>
      <c r="E92" s="30"/>
      <c r="F92" s="31"/>
      <c r="G92" s="118"/>
      <c r="H92" s="39"/>
      <c r="I92" s="39"/>
      <c r="J92" s="32"/>
      <c r="K92" s="31"/>
    </row>
    <row r="93" spans="1:14" ht="14">
      <c r="A93" s="59" t="s">
        <v>133</v>
      </c>
      <c r="B93" s="41" t="s">
        <v>101</v>
      </c>
      <c r="C93" s="36">
        <f>'Table 3.14-Route UAA'!C93*$D$111/SUM($D$111,'Table 3.16-Route UAA PARS'!$D$111)</f>
        <v>426.98902744100911</v>
      </c>
      <c r="D93" s="30">
        <f>'Table 3.14-Route UAA'!D93*$D$111/SUM($D$111,'Table 3.16-Route UAA PARS'!$D$111)</f>
        <v>7144.8575055200554</v>
      </c>
      <c r="E93" s="24" t="s">
        <v>234</v>
      </c>
      <c r="F93" s="61">
        <f>IF(D93&lt;&gt;0,C93/D93,0)</f>
        <v>5.9761727523763922E-2</v>
      </c>
      <c r="G93" s="205" t="s">
        <v>235</v>
      </c>
      <c r="H93" s="39">
        <v>1.2964363113082193</v>
      </c>
      <c r="I93" s="39"/>
      <c r="J93" s="36">
        <f>C93*H93</f>
        <v>553.56407970470593</v>
      </c>
      <c r="K93" s="61">
        <f>F93*(H93)</f>
        <v>7.7477273588315382E-2</v>
      </c>
    </row>
    <row r="94" spans="1:14" ht="14">
      <c r="A94" s="59" t="s">
        <v>774</v>
      </c>
      <c r="B94" s="41" t="s">
        <v>101</v>
      </c>
      <c r="C94" s="36">
        <f>'Table 3.14-Route UAA'!C94*$D$111/SUM($D$111,'Table 3.16-Route UAA PARS'!$D$111)</f>
        <v>705.8431938672345</v>
      </c>
      <c r="D94" s="30">
        <f>'Table 3.14-Route UAA'!D94*$D$111/SUM($D$111,'Table 3.16-Route UAA PARS'!$D$111)</f>
        <v>7144.8575055200554</v>
      </c>
      <c r="E94" s="24" t="s">
        <v>234</v>
      </c>
      <c r="F94" s="61">
        <f>IF(D94&lt;&gt;0,C94/D94,0)</f>
        <v>9.8790380818918513E-2</v>
      </c>
      <c r="G94" s="205" t="s">
        <v>235</v>
      </c>
      <c r="H94" s="248">
        <v>1.7055951497654467</v>
      </c>
      <c r="I94" s="40"/>
      <c r="J94" s="36">
        <f>C94*H94</f>
        <v>1203.8827279549071</v>
      </c>
      <c r="K94" s="61">
        <f>F94*(H94)</f>
        <v>0.16849639436822883</v>
      </c>
      <c r="L94" s="28"/>
      <c r="M94" s="334"/>
    </row>
    <row r="95" spans="1:14">
      <c r="A95" s="59"/>
      <c r="B95" s="42"/>
      <c r="C95" s="36"/>
      <c r="D95" s="34"/>
      <c r="E95" s="34"/>
      <c r="F95" s="35"/>
      <c r="G95" s="20"/>
      <c r="H95" s="40"/>
      <c r="I95" s="40"/>
      <c r="J95" s="36"/>
      <c r="K95" s="31"/>
    </row>
    <row r="96" spans="1:14">
      <c r="A96" s="17" t="s">
        <v>386</v>
      </c>
      <c r="B96" s="42"/>
      <c r="C96" s="36"/>
      <c r="D96" s="34"/>
      <c r="E96" s="34"/>
      <c r="F96" s="35"/>
      <c r="G96" s="20"/>
      <c r="H96" s="40"/>
      <c r="I96" s="40"/>
      <c r="J96" s="36"/>
      <c r="K96" s="31"/>
    </row>
    <row r="97" spans="1:11" ht="5" customHeight="1">
      <c r="A97" s="17"/>
      <c r="B97" s="42"/>
      <c r="C97" s="36"/>
      <c r="D97" s="34"/>
      <c r="E97" s="34"/>
      <c r="F97" s="35"/>
      <c r="G97" s="20"/>
      <c r="H97" s="40"/>
      <c r="I97" s="40"/>
      <c r="J97" s="36"/>
      <c r="K97" s="31"/>
    </row>
    <row r="98" spans="1:11">
      <c r="A98" s="60" t="s">
        <v>279</v>
      </c>
      <c r="B98" s="42"/>
      <c r="C98" s="36"/>
      <c r="D98" s="34"/>
      <c r="E98" s="34"/>
      <c r="F98" s="35"/>
      <c r="G98" s="20"/>
      <c r="H98" s="40"/>
      <c r="I98" s="40"/>
      <c r="J98" s="36"/>
      <c r="K98" s="31"/>
    </row>
    <row r="99" spans="1:11" ht="14">
      <c r="A99" s="246" t="s">
        <v>275</v>
      </c>
      <c r="B99" s="41" t="s">
        <v>101</v>
      </c>
      <c r="C99" s="36" t="s">
        <v>101</v>
      </c>
      <c r="D99" s="30">
        <f>D11</f>
        <v>36777.475298627964</v>
      </c>
      <c r="E99" s="30"/>
      <c r="F99" s="41" t="s">
        <v>101</v>
      </c>
      <c r="G99" s="118"/>
      <c r="H99" s="41" t="s">
        <v>101</v>
      </c>
      <c r="I99" s="39"/>
      <c r="J99" s="36">
        <f>J11+SUM($J$90:$J$91)*D99/SUM($D$103,$D$109)</f>
        <v>6340.8061800972328</v>
      </c>
      <c r="K99" s="61">
        <f>J99/D99</f>
        <v>0.1724100452412998</v>
      </c>
    </row>
    <row r="100" spans="1:11" ht="14">
      <c r="A100" s="246" t="s">
        <v>282</v>
      </c>
      <c r="B100" s="41" t="s">
        <v>101</v>
      </c>
      <c r="C100" s="36" t="s">
        <v>101</v>
      </c>
      <c r="D100" s="30">
        <f>D18</f>
        <v>11075.134430338496</v>
      </c>
      <c r="E100" s="30"/>
      <c r="F100" s="41" t="s">
        <v>101</v>
      </c>
      <c r="G100" s="118"/>
      <c r="H100" s="41" t="s">
        <v>101</v>
      </c>
      <c r="I100" s="39"/>
      <c r="J100" s="36">
        <f>J18+SUM($J$90:$J$91)*D100/SUM($D$103,$D$109)</f>
        <v>1631.9312731223381</v>
      </c>
      <c r="K100" s="61">
        <f>J100/D100</f>
        <v>0.14735092231945579</v>
      </c>
    </row>
    <row r="101" spans="1:11" ht="14">
      <c r="A101" s="246" t="s">
        <v>277</v>
      </c>
      <c r="B101" s="41" t="s">
        <v>101</v>
      </c>
      <c r="C101" s="36" t="s">
        <v>101</v>
      </c>
      <c r="D101" s="30">
        <f>D25</f>
        <v>17859.366483270736</v>
      </c>
      <c r="E101" s="30"/>
      <c r="F101" s="41" t="s">
        <v>101</v>
      </c>
      <c r="G101" s="118"/>
      <c r="H101" s="41" t="s">
        <v>101</v>
      </c>
      <c r="I101" s="39"/>
      <c r="J101" s="36">
        <f>J25+SUM($J$90:$J$91)*D101/SUM($D$103,$D$109)</f>
        <v>3374.2300545813978</v>
      </c>
      <c r="K101" s="61">
        <f>J101/D101</f>
        <v>0.18893335649627402</v>
      </c>
    </row>
    <row r="102" spans="1:11" ht="14">
      <c r="A102" s="246" t="s">
        <v>271</v>
      </c>
      <c r="B102" s="41" t="s">
        <v>101</v>
      </c>
      <c r="C102" s="36" t="s">
        <v>101</v>
      </c>
      <c r="D102" s="30">
        <f>D32</f>
        <v>32140.752579787706</v>
      </c>
      <c r="E102" s="30"/>
      <c r="F102" s="41" t="s">
        <v>101</v>
      </c>
      <c r="G102" s="118"/>
      <c r="H102" s="41" t="s">
        <v>101</v>
      </c>
      <c r="I102" s="39"/>
      <c r="J102" s="36">
        <f>J32+SUM($J$90:$J$91)*D102/SUM($D$103,$D$109)</f>
        <v>4787.8551808386901</v>
      </c>
      <c r="K102" s="61">
        <f>J102/D102</f>
        <v>0.14896524805861638</v>
      </c>
    </row>
    <row r="103" spans="1:11">
      <c r="A103" s="246" t="s">
        <v>276</v>
      </c>
      <c r="B103" s="41"/>
      <c r="C103" s="36"/>
      <c r="D103" s="30">
        <f>SUM(D99:D102)</f>
        <v>97852.728792024907</v>
      </c>
      <c r="E103" s="30"/>
      <c r="F103" s="41"/>
      <c r="G103" s="118"/>
      <c r="H103" s="41"/>
      <c r="I103" s="39"/>
      <c r="J103" s="36">
        <f>SUM(J99:J102)</f>
        <v>16134.822688639659</v>
      </c>
      <c r="K103" s="61">
        <f>J103/D103</f>
        <v>0.16488883741742583</v>
      </c>
    </row>
    <row r="104" spans="1:11" ht="5" customHeight="1">
      <c r="A104" s="18"/>
      <c r="B104" s="41"/>
      <c r="C104" s="36"/>
      <c r="D104" s="30"/>
      <c r="E104" s="30"/>
      <c r="F104" s="41"/>
      <c r="G104" s="118"/>
      <c r="H104" s="41"/>
      <c r="I104" s="39"/>
      <c r="J104" s="36"/>
      <c r="K104" s="61"/>
    </row>
    <row r="105" spans="1:11">
      <c r="A105" s="60" t="s">
        <v>387</v>
      </c>
    </row>
    <row r="106" spans="1:11" ht="14">
      <c r="A106" s="246" t="s">
        <v>381</v>
      </c>
      <c r="B106" s="41" t="s">
        <v>101</v>
      </c>
      <c r="C106" s="36" t="s">
        <v>101</v>
      </c>
      <c r="D106" s="30">
        <f>D52</f>
        <v>18572.74810175112</v>
      </c>
      <c r="E106" s="30"/>
      <c r="F106" s="41" t="s">
        <v>101</v>
      </c>
      <c r="G106" s="118"/>
      <c r="H106" s="41" t="s">
        <v>101</v>
      </c>
      <c r="I106" s="39"/>
      <c r="J106" s="36">
        <f>J52+SUM($J$90:$J$91)*D106/SUM($D$103,$D$109)</f>
        <v>2581.7607136855017</v>
      </c>
      <c r="K106" s="61">
        <f>J106/D106</f>
        <v>0.13900800783714296</v>
      </c>
    </row>
    <row r="107" spans="1:11" ht="14">
      <c r="A107" s="246" t="s">
        <v>388</v>
      </c>
      <c r="B107" s="41" t="s">
        <v>101</v>
      </c>
      <c r="C107" s="36" t="s">
        <v>101</v>
      </c>
      <c r="D107" s="30">
        <f>D60</f>
        <v>59033.920457764703</v>
      </c>
      <c r="E107" s="30"/>
      <c r="F107" s="41" t="s">
        <v>101</v>
      </c>
      <c r="G107" s="118"/>
      <c r="H107" s="41" t="s">
        <v>101</v>
      </c>
      <c r="I107" s="39"/>
      <c r="J107" s="36">
        <f>J60+SUM($J$90:$J$91)*D107/SUM($D$103,$D$109)</f>
        <v>6761.6846088917273</v>
      </c>
      <c r="K107" s="61">
        <f>J107/D107</f>
        <v>0.11453897278818395</v>
      </c>
    </row>
    <row r="108" spans="1:11" ht="14">
      <c r="A108" s="246" t="s">
        <v>383</v>
      </c>
      <c r="B108" s="41" t="s">
        <v>101</v>
      </c>
      <c r="C108" s="36" t="s">
        <v>101</v>
      </c>
      <c r="D108" s="30">
        <f>D67</f>
        <v>65556.920187931828</v>
      </c>
      <c r="E108" s="30"/>
      <c r="F108" s="41" t="s">
        <v>101</v>
      </c>
      <c r="G108" s="118"/>
      <c r="H108" s="41" t="s">
        <v>101</v>
      </c>
      <c r="I108" s="39"/>
      <c r="J108" s="36">
        <f>J67+SUM($J$90:$J$91)*D108/SUM($D$103,$D$109)</f>
        <v>11066.163417908087</v>
      </c>
      <c r="K108" s="61">
        <f>J108/D108</f>
        <v>0.16880236878402385</v>
      </c>
    </row>
    <row r="109" spans="1:11">
      <c r="A109" s="246" t="s">
        <v>389</v>
      </c>
      <c r="B109" s="41"/>
      <c r="C109" s="36"/>
      <c r="D109" s="30">
        <f>SUM(D106:D108)</f>
        <v>143163.58874744765</v>
      </c>
      <c r="E109" s="30"/>
      <c r="F109" s="41"/>
      <c r="G109" s="118"/>
      <c r="H109" s="41"/>
      <c r="I109" s="39"/>
      <c r="J109" s="36">
        <f>SUM(J106:J108)</f>
        <v>20409.608740485317</v>
      </c>
      <c r="K109" s="61">
        <f>J109/D109</f>
        <v>0.14256144959099584</v>
      </c>
    </row>
    <row r="110" spans="1:11" ht="5" customHeight="1">
      <c r="A110" s="18"/>
      <c r="B110" s="41"/>
      <c r="C110" s="36"/>
      <c r="D110" s="30"/>
      <c r="E110" s="30"/>
      <c r="F110" s="41"/>
      <c r="G110" s="118"/>
      <c r="H110" s="41"/>
      <c r="I110" s="39"/>
      <c r="J110" s="36"/>
      <c r="K110" s="61"/>
    </row>
    <row r="111" spans="1:11" ht="14">
      <c r="A111" s="60" t="s">
        <v>281</v>
      </c>
      <c r="B111" s="41" t="s">
        <v>101</v>
      </c>
      <c r="C111" s="36" t="s">
        <v>101</v>
      </c>
      <c r="D111" s="30">
        <f>D82</f>
        <v>399095.79314756329</v>
      </c>
      <c r="E111" s="30"/>
      <c r="F111" s="41"/>
      <c r="G111" s="118"/>
      <c r="H111" s="41"/>
      <c r="I111" s="39"/>
      <c r="J111" s="36">
        <f>SUM(J93:J94)+J82</f>
        <v>21272.457555338337</v>
      </c>
      <c r="K111" s="61">
        <f>J111/D111</f>
        <v>5.3301633143181169E-2</v>
      </c>
    </row>
    <row r="112" spans="1:11" hidden="1">
      <c r="A112" s="249"/>
      <c r="B112" s="41"/>
      <c r="C112" s="36"/>
      <c r="D112" s="30"/>
      <c r="E112" s="30"/>
      <c r="F112" s="41"/>
      <c r="G112" s="118"/>
      <c r="H112" s="41"/>
      <c r="I112" s="39"/>
      <c r="J112" s="36"/>
      <c r="K112" s="61"/>
    </row>
    <row r="113" spans="1:11" hidden="1">
      <c r="B113" s="50"/>
      <c r="C113" s="51"/>
      <c r="K113" s="52"/>
    </row>
    <row r="114" spans="1:11" hidden="1">
      <c r="A114" s="93" t="s">
        <v>186</v>
      </c>
      <c r="B114" s="247">
        <v>0</v>
      </c>
      <c r="C114" s="247">
        <v>0</v>
      </c>
      <c r="D114" s="247">
        <v>0</v>
      </c>
      <c r="E114" s="94"/>
      <c r="H114" s="92"/>
      <c r="I114" s="93"/>
      <c r="J114" s="247">
        <f>SUM(J103,J109)-J39-J74-SUM(J90:J91)</f>
        <v>0</v>
      </c>
    </row>
    <row r="115" spans="1:11" hidden="1">
      <c r="A115" s="93"/>
      <c r="B115" s="247">
        <v>0</v>
      </c>
      <c r="C115" s="247">
        <v>0</v>
      </c>
      <c r="D115" s="247">
        <v>0</v>
      </c>
      <c r="E115" s="94"/>
      <c r="H115" s="92"/>
      <c r="I115" s="93"/>
      <c r="J115" s="247">
        <f>J111-J82-J93-J94</f>
        <v>0</v>
      </c>
    </row>
    <row r="116" spans="1:11" hidden="1">
      <c r="B116" s="247">
        <v>0</v>
      </c>
      <c r="C116" s="247">
        <v>0</v>
      </c>
      <c r="D116" s="247">
        <v>0</v>
      </c>
      <c r="H116" s="93"/>
      <c r="I116" s="93"/>
      <c r="J116" s="247">
        <v>0</v>
      </c>
    </row>
    <row r="117" spans="1:11" hidden="1">
      <c r="B117" s="247">
        <v>0</v>
      </c>
      <c r="C117" s="247">
        <v>0</v>
      </c>
      <c r="D117" s="247">
        <v>0</v>
      </c>
      <c r="H117" s="20"/>
      <c r="I117" s="20"/>
      <c r="J117" s="247">
        <v>0</v>
      </c>
    </row>
    <row r="118" spans="1:11" hidden="1">
      <c r="B118" s="247"/>
      <c r="C118" s="247"/>
      <c r="D118" s="247">
        <v>-3.2014213502407074E-10</v>
      </c>
      <c r="H118" s="20"/>
      <c r="I118" s="20"/>
      <c r="J118" s="247">
        <v>0</v>
      </c>
    </row>
    <row r="119" spans="1:11">
      <c r="A119" s="103"/>
      <c r="B119" s="210"/>
      <c r="C119" s="211"/>
      <c r="D119" s="203"/>
    </row>
    <row r="120" spans="1:11">
      <c r="A120" s="4" t="s">
        <v>230</v>
      </c>
    </row>
    <row r="121" spans="1:11">
      <c r="A121" s="17" t="s">
        <v>789</v>
      </c>
    </row>
    <row r="122" spans="1:11">
      <c r="A122" s="17" t="s">
        <v>788</v>
      </c>
    </row>
    <row r="123" spans="1:11">
      <c r="A123" s="17" t="s">
        <v>790</v>
      </c>
    </row>
    <row r="124" spans="1:11">
      <c r="A124" s="17" t="s">
        <v>86</v>
      </c>
    </row>
  </sheetData>
  <phoneticPr fontId="0" type="noConversion"/>
  <printOptions horizontalCentered="1"/>
  <pageMargins left="0.75" right="0.75" top="1" bottom="1" header="0.5" footer="0.5"/>
  <pageSetup scale="92" fitToHeight="3" orientation="landscape" r:id="rId1"/>
  <headerFooter alignWithMargins="0">
    <oddFooter>&amp;L&amp;F</oddFooter>
  </headerFooter>
  <rowBreaks count="2" manualBreakCount="2">
    <brk id="41" max="10" man="1"/>
    <brk id="84" max="10"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7"/>
  <dimension ref="A1:N126"/>
  <sheetViews>
    <sheetView zoomScale="70" zoomScaleNormal="70" workbookViewId="0"/>
  </sheetViews>
  <sheetFormatPr baseColWidth="10" defaultColWidth="9.1640625" defaultRowHeight="13"/>
  <cols>
    <col min="1" max="1" width="43.5" style="4" customWidth="1"/>
    <col min="2" max="2" width="11.5" style="47" customWidth="1"/>
    <col min="3" max="3" width="11.5" style="29" customWidth="1"/>
    <col min="4" max="4" width="11.5" style="24" customWidth="1"/>
    <col min="5" max="5" width="2.5" style="24" customWidth="1"/>
    <col min="6" max="6" width="11.5" style="28" customWidth="1"/>
    <col min="7" max="7" width="2.5" style="2" customWidth="1"/>
    <col min="8" max="8" width="11.5" style="4" customWidth="1"/>
    <col min="9" max="9" width="2.5" style="2" customWidth="1"/>
    <col min="10" max="10" width="11.5" style="2" customWidth="1"/>
    <col min="11" max="11" width="11.5" style="28" customWidth="1"/>
    <col min="12" max="12" width="9.1640625" style="4"/>
    <col min="13" max="13" width="11.5" style="4" bestFit="1" customWidth="1"/>
    <col min="14" max="14" width="11.1640625" style="4" bestFit="1" customWidth="1"/>
    <col min="15" max="16384" width="9.1640625" style="4"/>
  </cols>
  <sheetData>
    <row r="1" spans="1:12" ht="15.75" customHeight="1">
      <c r="A1" s="117" t="s">
        <v>52</v>
      </c>
    </row>
    <row r="2" spans="1:12" ht="15.75" customHeight="1">
      <c r="A2" s="117" t="s">
        <v>780</v>
      </c>
    </row>
    <row r="3" spans="1:12" ht="28">
      <c r="B3" s="138" t="s">
        <v>243</v>
      </c>
      <c r="C3" s="107" t="s">
        <v>244</v>
      </c>
      <c r="D3" s="125" t="s">
        <v>245</v>
      </c>
      <c r="E3" s="125"/>
      <c r="F3" s="126" t="s">
        <v>202</v>
      </c>
      <c r="G3" s="118"/>
      <c r="H3" s="119" t="s">
        <v>241</v>
      </c>
      <c r="I3" s="118"/>
      <c r="J3" s="138" t="s">
        <v>105</v>
      </c>
      <c r="K3" s="31" t="s">
        <v>128</v>
      </c>
    </row>
    <row r="4" spans="1:12">
      <c r="A4" s="14" t="s">
        <v>278</v>
      </c>
    </row>
    <row r="5" spans="1:12" ht="5" customHeight="1">
      <c r="A5" s="16"/>
    </row>
    <row r="6" spans="1:12">
      <c r="A6" s="60" t="s">
        <v>270</v>
      </c>
      <c r="B6" s="42"/>
      <c r="C6" s="36"/>
      <c r="D6" s="30"/>
      <c r="E6" s="30"/>
      <c r="F6" s="31"/>
      <c r="G6" s="33"/>
      <c r="H6" s="39"/>
      <c r="I6" s="49"/>
      <c r="J6" s="49"/>
      <c r="K6" s="31"/>
    </row>
    <row r="7" spans="1:12">
      <c r="A7" s="245" t="s">
        <v>130</v>
      </c>
      <c r="B7" s="34">
        <v>666.8237019629812</v>
      </c>
      <c r="C7" s="36">
        <v>30935.729108614254</v>
      </c>
      <c r="D7" s="34">
        <v>461898.80360744899</v>
      </c>
      <c r="E7" s="34"/>
      <c r="F7" s="61">
        <f>IF(D7&lt;&gt;0,C7/D7,0)</f>
        <v>6.6975122834276507E-2</v>
      </c>
      <c r="G7" s="118"/>
      <c r="H7" s="39">
        <v>1.3010789984537243</v>
      </c>
      <c r="I7" s="39"/>
      <c r="J7" s="36">
        <f>C7*H7</f>
        <v>40249.827445071562</v>
      </c>
      <c r="K7" s="61">
        <f>F7*(H7)</f>
        <v>8.7139925738535642E-2</v>
      </c>
    </row>
    <row r="8" spans="1:12" ht="12.75" customHeight="1">
      <c r="A8" s="246" t="s">
        <v>131</v>
      </c>
      <c r="B8" s="34">
        <v>248.05268669745325</v>
      </c>
      <c r="C8" s="36">
        <v>6290.4316389719488</v>
      </c>
      <c r="D8" s="34">
        <v>177225.51564646675</v>
      </c>
      <c r="E8" s="34"/>
      <c r="F8" s="61">
        <f>IF(D8&lt;&gt;0,C8/D8,0)</f>
        <v>3.5493938985175458E-2</v>
      </c>
      <c r="G8" s="118"/>
      <c r="H8" s="39">
        <v>1.2077066130157168</v>
      </c>
      <c r="I8" s="39"/>
      <c r="J8" s="36">
        <f>C8*H8</f>
        <v>7596.9958891097167</v>
      </c>
      <c r="K8" s="61">
        <f>F8*(H8)</f>
        <v>4.286626483437276E-2</v>
      </c>
    </row>
    <row r="9" spans="1:12">
      <c r="A9" s="245" t="s">
        <v>132</v>
      </c>
      <c r="B9" s="34">
        <v>181.72386787460599</v>
      </c>
      <c r="C9" s="36">
        <v>6112.8387772063725</v>
      </c>
      <c r="D9" s="34">
        <v>127868.12527264922</v>
      </c>
      <c r="E9" s="34"/>
      <c r="F9" s="61">
        <f>IF(D9&lt;&gt;0,C9/D9,0)</f>
        <v>4.7805805897069002E-2</v>
      </c>
      <c r="G9" s="118"/>
      <c r="H9" s="39">
        <v>1.4559921991063358</v>
      </c>
      <c r="I9" s="20"/>
      <c r="J9" s="36">
        <f>C9*H9</f>
        <v>8900.245574007191</v>
      </c>
      <c r="K9" s="61">
        <f>F9*(H9)</f>
        <v>6.960488045812413E-2</v>
      </c>
    </row>
    <row r="10" spans="1:12">
      <c r="A10" s="245" t="s">
        <v>102</v>
      </c>
      <c r="B10" s="34">
        <v>4.8445440488682108</v>
      </c>
      <c r="C10" s="36">
        <v>214.00967117637276</v>
      </c>
      <c r="D10" s="34">
        <v>3342.3109756443614</v>
      </c>
      <c r="E10" s="34"/>
      <c r="F10" s="61">
        <f>IF(D10&lt;&gt;0,C10/D10,0)</f>
        <v>6.4030448613511801E-2</v>
      </c>
      <c r="G10" s="118"/>
      <c r="H10" s="39">
        <v>1.2077066130157168</v>
      </c>
      <c r="I10" s="39"/>
      <c r="J10" s="36">
        <f>C10*H10</f>
        <v>258.46089512902444</v>
      </c>
      <c r="K10" s="61">
        <f>F10*(H10)</f>
        <v>7.7329996224901235E-2</v>
      </c>
    </row>
    <row r="11" spans="1:12">
      <c r="A11" s="245" t="s">
        <v>272</v>
      </c>
      <c r="B11" s="34">
        <f>SUM(B7:B10)</f>
        <v>1101.4448005839085</v>
      </c>
      <c r="C11" s="36">
        <f>SUM(C7:C10)</f>
        <v>43553.009195968953</v>
      </c>
      <c r="D11" s="34">
        <f>SUM(D7:D10)</f>
        <v>770334.7555022093</v>
      </c>
      <c r="E11" s="34"/>
      <c r="F11" s="61">
        <f>IF(D11&lt;&gt;0,C11/D11,0)</f>
        <v>5.6537769956355087E-2</v>
      </c>
      <c r="G11" s="118"/>
      <c r="H11" s="39"/>
      <c r="I11" s="39"/>
      <c r="J11" s="36">
        <f>SUM(J7:J10)</f>
        <v>57005.529803317491</v>
      </c>
      <c r="K11" s="61">
        <f>SUMPRODUCT(K7:K10,D7:D10)/D11</f>
        <v>7.4000983852991947E-2</v>
      </c>
      <c r="L11" s="62"/>
    </row>
    <row r="12" spans="1:12" ht="5" customHeight="1">
      <c r="A12" s="18"/>
      <c r="B12" s="34"/>
      <c r="C12" s="36"/>
      <c r="D12" s="34"/>
      <c r="E12" s="34"/>
      <c r="F12" s="61"/>
      <c r="G12" s="118"/>
      <c r="H12" s="39"/>
      <c r="I12" s="39"/>
      <c r="J12" s="36"/>
      <c r="K12" s="61"/>
      <c r="L12" s="62"/>
    </row>
    <row r="13" spans="1:12">
      <c r="A13" s="66" t="s">
        <v>378</v>
      </c>
      <c r="B13" s="34"/>
      <c r="C13" s="36"/>
      <c r="D13" s="34"/>
      <c r="E13" s="34"/>
      <c r="F13" s="61"/>
      <c r="G13" s="118"/>
      <c r="H13" s="39"/>
      <c r="I13" s="39"/>
      <c r="J13" s="36"/>
      <c r="K13" s="61"/>
      <c r="L13" s="62"/>
    </row>
    <row r="14" spans="1:12">
      <c r="A14" s="245" t="s">
        <v>130</v>
      </c>
      <c r="B14" s="34">
        <v>108.41218654490264</v>
      </c>
      <c r="C14" s="36">
        <v>5013.1009729758371</v>
      </c>
      <c r="D14" s="34">
        <v>73681.749358214889</v>
      </c>
      <c r="E14" s="34"/>
      <c r="F14" s="61">
        <f>IF(D14&lt;&gt;0,C14/D14,0)</f>
        <v>6.8037214325679135E-2</v>
      </c>
      <c r="G14" s="118"/>
      <c r="H14" s="39">
        <v>1.3010789984537243</v>
      </c>
      <c r="I14" s="39"/>
      <c r="J14" s="36">
        <f>C14*H14</f>
        <v>6522.4403930667931</v>
      </c>
      <c r="K14" s="61">
        <f>F14*(H14)</f>
        <v>8.8521790672435999E-2</v>
      </c>
      <c r="L14" s="62"/>
    </row>
    <row r="15" spans="1:12">
      <c r="A15" s="246" t="s">
        <v>131</v>
      </c>
      <c r="B15" s="34">
        <v>59.924273344957385</v>
      </c>
      <c r="C15" s="36">
        <v>1511.4160155201371</v>
      </c>
      <c r="D15" s="34">
        <v>41342.498796177722</v>
      </c>
      <c r="E15" s="34"/>
      <c r="F15" s="61">
        <f>IF(D15&lt;&gt;0,C15/D15,0)</f>
        <v>3.6558409857409817E-2</v>
      </c>
      <c r="G15" s="118"/>
      <c r="H15" s="39">
        <v>1.2077066130157168</v>
      </c>
      <c r="I15" s="39"/>
      <c r="J15" s="36">
        <f>C15*H15</f>
        <v>1825.3471169615348</v>
      </c>
      <c r="K15" s="61">
        <f>F15*(H15)</f>
        <v>4.4151833346132804E-2</v>
      </c>
      <c r="L15" s="62"/>
    </row>
    <row r="16" spans="1:12">
      <c r="A16" s="245" t="s">
        <v>132</v>
      </c>
      <c r="B16" s="34">
        <v>22.101538780299524</v>
      </c>
      <c r="C16" s="36">
        <v>741.23129570057586</v>
      </c>
      <c r="D16" s="34">
        <v>15248.125499299005</v>
      </c>
      <c r="E16" s="34"/>
      <c r="F16" s="61">
        <f>IF(D16&lt;&gt;0,C16/D16,0)</f>
        <v>4.8611306073959852E-2</v>
      </c>
      <c r="G16" s="118"/>
      <c r="H16" s="39">
        <v>1.4559921991063358</v>
      </c>
      <c r="I16" s="39"/>
      <c r="J16" s="36">
        <f>C16*H16</f>
        <v>1079.2269842735202</v>
      </c>
      <c r="K16" s="61">
        <f>F16*(H16)</f>
        <v>7.0777682432055983E-2</v>
      </c>
      <c r="L16" s="62"/>
    </row>
    <row r="17" spans="1:13" ht="12.75" customHeight="1">
      <c r="A17" s="245" t="s">
        <v>102</v>
      </c>
      <c r="B17" s="34">
        <v>1.180951669136578</v>
      </c>
      <c r="C17" s="36">
        <v>52.169012364775988</v>
      </c>
      <c r="D17" s="34">
        <v>814.7531915584176</v>
      </c>
      <c r="E17" s="34"/>
      <c r="F17" s="61">
        <f>IF(D17&lt;&gt;0,C17/D17,0)</f>
        <v>6.4030448613511787E-2</v>
      </c>
      <c r="G17" s="118"/>
      <c r="H17" s="39">
        <v>1.2077066130157168</v>
      </c>
      <c r="I17" s="39"/>
      <c r="J17" s="36">
        <f>C17*H17</f>
        <v>63.00486122743866</v>
      </c>
      <c r="K17" s="61">
        <f>F17*(H17)</f>
        <v>7.7329996224901221E-2</v>
      </c>
      <c r="L17" s="62"/>
    </row>
    <row r="18" spans="1:13">
      <c r="A18" s="245" t="s">
        <v>272</v>
      </c>
      <c r="B18" s="34">
        <f>SUM(B14:B17)</f>
        <v>191.61895033929613</v>
      </c>
      <c r="C18" s="36">
        <f>SUM(C14:C17)</f>
        <v>7317.9172965613261</v>
      </c>
      <c r="D18" s="34">
        <f>SUM(D14:D17)</f>
        <v>131087.12684525002</v>
      </c>
      <c r="E18" s="34"/>
      <c r="F18" s="61">
        <f>IF(D18&lt;&gt;0,C18/D18,0)</f>
        <v>5.5824835532479238E-2</v>
      </c>
      <c r="G18" s="118"/>
      <c r="H18" s="39"/>
      <c r="I18" s="39"/>
      <c r="J18" s="36">
        <f>SUM(J14:J17)</f>
        <v>9490.0193555292863</v>
      </c>
      <c r="K18" s="61">
        <f>SUMPRODUCT(K14:K17,D14:D17)/D18</f>
        <v>7.2394746791058853E-2</v>
      </c>
      <c r="L18" s="62"/>
    </row>
    <row r="19" spans="1:13" ht="5" customHeight="1">
      <c r="A19" s="59"/>
      <c r="B19" s="34"/>
      <c r="C19" s="34"/>
      <c r="D19" s="34"/>
      <c r="E19" s="34"/>
      <c r="F19" s="61"/>
      <c r="G19" s="118"/>
      <c r="H19" s="39"/>
      <c r="I19" s="39"/>
      <c r="J19" s="36"/>
      <c r="K19" s="61"/>
      <c r="L19" s="62"/>
    </row>
    <row r="20" spans="1:13" ht="12.75" customHeight="1">
      <c r="A20" s="66" t="s">
        <v>379</v>
      </c>
      <c r="B20" s="34"/>
      <c r="C20" s="34"/>
      <c r="D20" s="34"/>
      <c r="E20" s="34"/>
      <c r="F20" s="61"/>
      <c r="G20" s="118"/>
      <c r="H20" s="39"/>
      <c r="I20" s="39"/>
      <c r="J20" s="36"/>
      <c r="K20" s="61"/>
      <c r="L20" s="62"/>
    </row>
    <row r="21" spans="1:13" ht="12.75" customHeight="1">
      <c r="A21" s="245" t="s">
        <v>130</v>
      </c>
      <c r="B21" s="34">
        <v>358.54571959704896</v>
      </c>
      <c r="C21" s="36">
        <v>16579.555795822107</v>
      </c>
      <c r="D21" s="34">
        <v>240745.2167226162</v>
      </c>
      <c r="E21" s="34"/>
      <c r="F21" s="61">
        <f>IF(D21&lt;&gt;0,C21/D21,0)</f>
        <v>6.8867643650527333E-2</v>
      </c>
      <c r="G21" s="118"/>
      <c r="H21" s="39">
        <v>1.3010789984537243</v>
      </c>
      <c r="I21" s="39"/>
      <c r="J21" s="36">
        <f>C21*H21</f>
        <v>21571.311849635866</v>
      </c>
      <c r="K21" s="61">
        <f>F21*(H21)</f>
        <v>8.9602244826696084E-2</v>
      </c>
      <c r="L21" s="62"/>
    </row>
    <row r="22" spans="1:13" ht="12.75" customHeight="1">
      <c r="A22" s="246" t="s">
        <v>131</v>
      </c>
      <c r="B22" s="34">
        <v>173.79942769170214</v>
      </c>
      <c r="C22" s="36">
        <v>4383.5865474633638</v>
      </c>
      <c r="D22" s="34">
        <v>119906.3789853234</v>
      </c>
      <c r="E22" s="34"/>
      <c r="F22" s="61">
        <f>IF(D22&lt;&gt;0,C22/D22,0)</f>
        <v>3.655840985740981E-2</v>
      </c>
      <c r="G22" s="118"/>
      <c r="H22" s="39">
        <v>1.2077066130157168</v>
      </c>
      <c r="I22" s="39"/>
      <c r="J22" s="36">
        <f>C22*H22</f>
        <v>5294.0864620982384</v>
      </c>
      <c r="K22" s="61">
        <f>F22*(H22)</f>
        <v>4.4151833346132797E-2</v>
      </c>
      <c r="L22" s="62"/>
    </row>
    <row r="23" spans="1:13" ht="12.75" customHeight="1">
      <c r="A23" s="245" t="s">
        <v>132</v>
      </c>
      <c r="B23" s="34">
        <v>78.011261536776871</v>
      </c>
      <c r="C23" s="36">
        <v>2616.3059976477334</v>
      </c>
      <c r="D23" s="34">
        <v>53820.936093902608</v>
      </c>
      <c r="E23" s="34"/>
      <c r="F23" s="61">
        <f>IF(D23&lt;&gt;0,C23/D23,0)</f>
        <v>4.8611306073959859E-2</v>
      </c>
      <c r="G23" s="118"/>
      <c r="H23" s="39">
        <v>1.4559921991063358</v>
      </c>
      <c r="I23" s="39"/>
      <c r="J23" s="36">
        <f>C23*H23</f>
        <v>3809.3211230502193</v>
      </c>
      <c r="K23" s="61">
        <f>F23*(H23)</f>
        <v>7.0777682432055997E-2</v>
      </c>
      <c r="L23" s="62"/>
    </row>
    <row r="24" spans="1:13" ht="12.75" customHeight="1">
      <c r="A24" s="245" t="s">
        <v>102</v>
      </c>
      <c r="B24" s="34">
        <v>2.3486688612656965</v>
      </c>
      <c r="C24" s="36">
        <v>103.75338641395668</v>
      </c>
      <c r="D24" s="34">
        <v>1620.3757534202639</v>
      </c>
      <c r="E24" s="34"/>
      <c r="F24" s="61">
        <f>IF(D24&lt;&gt;0,C24/D24,0)</f>
        <v>6.4030448613511801E-2</v>
      </c>
      <c r="G24" s="118"/>
      <c r="H24" s="39">
        <v>1.2077066130157168</v>
      </c>
      <c r="I24" s="39"/>
      <c r="J24" s="36">
        <f>C24*H24</f>
        <v>125.3036508949105</v>
      </c>
      <c r="K24" s="61">
        <f>F24*(H24)</f>
        <v>7.7329996224901235E-2</v>
      </c>
      <c r="L24" s="62"/>
    </row>
    <row r="25" spans="1:13" ht="12.75" customHeight="1">
      <c r="A25" s="245" t="s">
        <v>272</v>
      </c>
      <c r="B25" s="34">
        <f>SUM(B21:B24)</f>
        <v>612.70507768679363</v>
      </c>
      <c r="C25" s="36">
        <f>SUM(C21:C24)</f>
        <v>23683.201727347161</v>
      </c>
      <c r="D25" s="34">
        <f>SUM(D21:D24)</f>
        <v>416092.9075552625</v>
      </c>
      <c r="E25" s="34"/>
      <c r="F25" s="61">
        <f>IF(D25&lt;&gt;0,C25/D25,0)</f>
        <v>5.6918061561051066E-2</v>
      </c>
      <c r="G25" s="118"/>
      <c r="H25" s="39"/>
      <c r="I25" s="39"/>
      <c r="J25" s="36">
        <f>SUM(J21:J24)</f>
        <v>30800.023085679237</v>
      </c>
      <c r="K25" s="61">
        <f>SUMPRODUCT(K21:K24,D21:D24)/D25</f>
        <v>7.4021985298051721E-2</v>
      </c>
      <c r="L25" s="62"/>
    </row>
    <row r="26" spans="1:13" ht="5" customHeight="1">
      <c r="A26" s="59"/>
      <c r="B26" s="34"/>
      <c r="C26" s="34"/>
      <c r="D26" s="34"/>
      <c r="E26" s="34"/>
      <c r="F26" s="61"/>
      <c r="G26" s="118"/>
      <c r="H26" s="39"/>
      <c r="I26" s="39"/>
      <c r="J26" s="36"/>
      <c r="K26" s="61"/>
      <c r="L26" s="62"/>
    </row>
    <row r="27" spans="1:13" ht="12.75" customHeight="1">
      <c r="A27" s="18" t="s">
        <v>271</v>
      </c>
      <c r="B27" s="34"/>
      <c r="C27" s="34"/>
      <c r="D27" s="34"/>
      <c r="E27" s="34"/>
      <c r="F27" s="61"/>
      <c r="G27" s="118"/>
      <c r="H27" s="39"/>
      <c r="I27" s="39"/>
      <c r="J27" s="36"/>
      <c r="K27" s="61"/>
      <c r="L27" s="62"/>
    </row>
    <row r="28" spans="1:13" ht="12.75" customHeight="1">
      <c r="A28" s="245" t="s">
        <v>130</v>
      </c>
      <c r="B28" s="34">
        <v>0</v>
      </c>
      <c r="C28" s="36">
        <v>0</v>
      </c>
      <c r="D28" s="34">
        <v>0</v>
      </c>
      <c r="E28" s="34"/>
      <c r="F28" s="61">
        <f>IF(D28&lt;&gt;0,C28/D28,0)</f>
        <v>0</v>
      </c>
      <c r="G28" s="118"/>
      <c r="H28" s="39">
        <v>1.3010789984537243</v>
      </c>
      <c r="I28" s="39"/>
      <c r="J28" s="36">
        <f>C28*H28</f>
        <v>0</v>
      </c>
      <c r="K28" s="61">
        <f>F28*(H28)</f>
        <v>0</v>
      </c>
      <c r="L28" s="62"/>
    </row>
    <row r="29" spans="1:13" ht="12.75" customHeight="1">
      <c r="A29" s="246" t="s">
        <v>131</v>
      </c>
      <c r="B29" s="34">
        <v>0</v>
      </c>
      <c r="C29" s="36">
        <v>0</v>
      </c>
      <c r="D29" s="34">
        <v>0</v>
      </c>
      <c r="E29" s="34"/>
      <c r="F29" s="61">
        <f>IF(D29&lt;&gt;0,C29/D29,0)</f>
        <v>0</v>
      </c>
      <c r="G29" s="118"/>
      <c r="H29" s="39">
        <v>1.2077066130157168</v>
      </c>
      <c r="I29" s="39"/>
      <c r="J29" s="36">
        <f>C29*H29</f>
        <v>0</v>
      </c>
      <c r="K29" s="61">
        <f>F29*(H29)</f>
        <v>0</v>
      </c>
      <c r="L29" s="62"/>
    </row>
    <row r="30" spans="1:13" ht="12.75" customHeight="1">
      <c r="A30" s="245" t="s">
        <v>132</v>
      </c>
      <c r="B30" s="34">
        <v>0</v>
      </c>
      <c r="C30" s="36">
        <v>0</v>
      </c>
      <c r="D30" s="34">
        <v>0</v>
      </c>
      <c r="E30" s="34"/>
      <c r="F30" s="61">
        <f>IF(D30&lt;&gt;0,C30/D30,0)</f>
        <v>0</v>
      </c>
      <c r="G30" s="118"/>
      <c r="H30" s="39">
        <v>1.4559921991063358</v>
      </c>
      <c r="I30" s="39"/>
      <c r="J30" s="36">
        <f>C30*H30</f>
        <v>0</v>
      </c>
      <c r="K30" s="61">
        <f>F30*(H30)</f>
        <v>0</v>
      </c>
      <c r="L30" s="62"/>
    </row>
    <row r="31" spans="1:13" ht="12.75" customHeight="1">
      <c r="A31" s="245" t="s">
        <v>102</v>
      </c>
      <c r="B31" s="34">
        <v>0</v>
      </c>
      <c r="C31" s="36">
        <v>0</v>
      </c>
      <c r="D31" s="34">
        <v>0</v>
      </c>
      <c r="E31" s="34"/>
      <c r="F31" s="61">
        <f>IF(D31&lt;&gt;0,C31/D31,0)</f>
        <v>0</v>
      </c>
      <c r="G31" s="118"/>
      <c r="H31" s="39">
        <v>1.2077066130157168</v>
      </c>
      <c r="I31" s="39"/>
      <c r="J31" s="36">
        <f>C31*H31</f>
        <v>0</v>
      </c>
      <c r="K31" s="61">
        <f>F31*(H31)</f>
        <v>0</v>
      </c>
      <c r="L31" s="62"/>
    </row>
    <row r="32" spans="1:13" ht="12.75" customHeight="1">
      <c r="A32" s="245" t="s">
        <v>272</v>
      </c>
      <c r="B32" s="34">
        <f>SUM(B28:B31)</f>
        <v>0</v>
      </c>
      <c r="C32" s="36">
        <f>SUM(C28:C31)</f>
        <v>0</v>
      </c>
      <c r="D32" s="34">
        <f>SUM(D28:D31)</f>
        <v>0</v>
      </c>
      <c r="E32" s="34"/>
      <c r="F32" s="61">
        <f>IF(D32&lt;&gt;0,C32/D32,0)</f>
        <v>0</v>
      </c>
      <c r="G32" s="118"/>
      <c r="H32" s="39"/>
      <c r="I32" s="39"/>
      <c r="J32" s="36">
        <f>SUM(J28:J31)</f>
        <v>0</v>
      </c>
      <c r="K32" s="61">
        <f>IF(D32&lt;&gt;0,SUMPRODUCT(K28:K31,D28:D31)/D32,0)</f>
        <v>0</v>
      </c>
      <c r="L32" s="62"/>
      <c r="M32" s="5"/>
    </row>
    <row r="33" spans="1:12" ht="5" customHeight="1">
      <c r="A33" s="59"/>
      <c r="B33" s="34"/>
      <c r="C33" s="36"/>
      <c r="D33" s="34"/>
      <c r="E33" s="34"/>
      <c r="F33" s="61"/>
      <c r="G33" s="118"/>
      <c r="H33" s="39"/>
      <c r="I33" s="39"/>
      <c r="J33" s="36"/>
      <c r="K33" s="61"/>
      <c r="L33" s="62"/>
    </row>
    <row r="34" spans="1:12" ht="12.75" customHeight="1">
      <c r="A34" s="66" t="s">
        <v>283</v>
      </c>
      <c r="B34" s="34"/>
      <c r="C34" s="36"/>
      <c r="D34" s="34"/>
      <c r="E34" s="34"/>
      <c r="F34" s="61"/>
      <c r="G34" s="118"/>
      <c r="H34" s="39"/>
      <c r="I34" s="39"/>
      <c r="J34" s="36"/>
      <c r="K34" s="61"/>
      <c r="L34" s="62"/>
    </row>
    <row r="35" spans="1:12">
      <c r="A35" s="245" t="s">
        <v>130</v>
      </c>
      <c r="B35" s="34">
        <f t="shared" ref="B35:D38" si="0">SUM(B7,B14,B21,B28)</f>
        <v>1133.7816081049327</v>
      </c>
      <c r="C35" s="36">
        <f t="shared" si="0"/>
        <v>52528.385877412191</v>
      </c>
      <c r="D35" s="34">
        <f t="shared" si="0"/>
        <v>776325.76968828007</v>
      </c>
      <c r="E35" s="34"/>
      <c r="F35" s="61">
        <f>IF(D35&lt;&gt;0,C35/D35,0)</f>
        <v>6.7662813638795005E-2</v>
      </c>
      <c r="G35" s="118"/>
      <c r="H35" s="39">
        <v>1.3010789984537243</v>
      </c>
      <c r="I35" s="39"/>
      <c r="J35" s="36">
        <f>SUM(J7,J14,J21,J28)</f>
        <v>68343.57968777421</v>
      </c>
      <c r="K35" s="61">
        <f>F35*(H35)</f>
        <v>8.8034665801724407E-2</v>
      </c>
      <c r="L35" s="62"/>
    </row>
    <row r="36" spans="1:12">
      <c r="A36" s="246" t="s">
        <v>131</v>
      </c>
      <c r="B36" s="34">
        <f t="shared" si="0"/>
        <v>481.77638773411275</v>
      </c>
      <c r="C36" s="36">
        <f t="shared" si="0"/>
        <v>12185.43420195545</v>
      </c>
      <c r="D36" s="34">
        <f t="shared" si="0"/>
        <v>338474.39342796791</v>
      </c>
      <c r="E36" s="34"/>
      <c r="F36" s="61">
        <f>IF(D36&lt;&gt;0,C36/D36,0)</f>
        <v>3.600105189212395E-2</v>
      </c>
      <c r="G36" s="118"/>
      <c r="H36" s="39">
        <v>1.2077066130157168</v>
      </c>
      <c r="I36" s="39"/>
      <c r="J36" s="36">
        <f>SUM(J8,J15,J22,J29)</f>
        <v>14716.429468169488</v>
      </c>
      <c r="K36" s="61">
        <f>F36*(H36)</f>
        <v>4.3478708445640078E-2</v>
      </c>
      <c r="L36" s="62"/>
    </row>
    <row r="37" spans="1:12">
      <c r="A37" s="245" t="s">
        <v>132</v>
      </c>
      <c r="B37" s="34">
        <f t="shared" si="0"/>
        <v>281.83666819168241</v>
      </c>
      <c r="C37" s="36">
        <f t="shared" si="0"/>
        <v>9470.3760705546811</v>
      </c>
      <c r="D37" s="34">
        <f t="shared" si="0"/>
        <v>196937.18686585082</v>
      </c>
      <c r="E37" s="34"/>
      <c r="F37" s="61">
        <f>IF(D37&lt;&gt;0,C37/D37,0)</f>
        <v>4.8088307857295072E-2</v>
      </c>
      <c r="G37" s="118"/>
      <c r="H37" s="39">
        <v>1.4559921991063358</v>
      </c>
      <c r="I37" s="39"/>
      <c r="J37" s="36">
        <f>SUM(J9,J16,J23,J30)</f>
        <v>13788.793681330932</v>
      </c>
      <c r="K37" s="61">
        <f>F37*(H37)</f>
        <v>7.0016201108445544E-2</v>
      </c>
      <c r="L37" s="62"/>
    </row>
    <row r="38" spans="1:12">
      <c r="A38" s="245" t="s">
        <v>102</v>
      </c>
      <c r="B38" s="34">
        <f t="shared" si="0"/>
        <v>8.3741645792704862</v>
      </c>
      <c r="C38" s="36">
        <f t="shared" si="0"/>
        <v>369.93206995510542</v>
      </c>
      <c r="D38" s="34">
        <f t="shared" si="0"/>
        <v>5777.4399206230428</v>
      </c>
      <c r="E38" s="34"/>
      <c r="F38" s="61">
        <f>IF(D38&lt;&gt;0,C38/D38,0)</f>
        <v>6.4030448613511801E-2</v>
      </c>
      <c r="G38" s="118"/>
      <c r="H38" s="39">
        <v>1.2077066130157168</v>
      </c>
      <c r="I38" s="39"/>
      <c r="J38" s="36">
        <f>SUM(J10,J17,J24,J31)</f>
        <v>446.76940725137359</v>
      </c>
      <c r="K38" s="61">
        <f>F38*(H38)</f>
        <v>7.7329996224901235E-2</v>
      </c>
      <c r="L38" s="62"/>
    </row>
    <row r="39" spans="1:12">
      <c r="A39" s="246" t="s">
        <v>97</v>
      </c>
      <c r="B39" s="34">
        <f>SUM(B35:B38)</f>
        <v>1905.7688286099981</v>
      </c>
      <c r="C39" s="36">
        <f>SUM(C35:C38)</f>
        <v>74554.128219877428</v>
      </c>
      <c r="D39" s="34">
        <f>SUM(D35:D38)</f>
        <v>1317514.7899027218</v>
      </c>
      <c r="E39" s="34"/>
      <c r="F39" s="61"/>
      <c r="G39" s="118"/>
      <c r="H39" s="39"/>
      <c r="I39" s="39"/>
      <c r="J39" s="36">
        <f>SUM(J35:J38)</f>
        <v>97295.572244526003</v>
      </c>
      <c r="K39" s="61">
        <f>SUMPRODUCT(K35:K38,D35:D38)/D39</f>
        <v>7.3847802688962447E-2</v>
      </c>
      <c r="L39" s="62"/>
    </row>
    <row r="40" spans="1:12" ht="5" customHeight="1">
      <c r="A40" s="59"/>
      <c r="B40" s="34"/>
      <c r="C40" s="36"/>
      <c r="D40" s="34"/>
      <c r="E40" s="34"/>
      <c r="F40" s="61"/>
      <c r="G40" s="118"/>
      <c r="H40" s="39"/>
      <c r="I40" s="39"/>
      <c r="J40" s="36"/>
      <c r="K40" s="61"/>
      <c r="L40" s="62"/>
    </row>
    <row r="41" spans="1:12">
      <c r="A41" s="59"/>
      <c r="B41" s="34"/>
      <c r="C41" s="36"/>
      <c r="D41" s="34"/>
      <c r="E41" s="34"/>
      <c r="F41" s="61"/>
      <c r="G41" s="118"/>
      <c r="H41" s="39"/>
      <c r="I41" s="39"/>
      <c r="J41" s="36"/>
      <c r="K41" s="61"/>
      <c r="L41" s="62"/>
    </row>
    <row r="42" spans="1:12" ht="16">
      <c r="A42" s="117" t="s">
        <v>53</v>
      </c>
      <c r="L42" s="62"/>
    </row>
    <row r="43" spans="1:12" ht="16">
      <c r="A43" s="117" t="s">
        <v>780</v>
      </c>
      <c r="L43" s="62"/>
    </row>
    <row r="44" spans="1:12" ht="28">
      <c r="B44" s="138" t="s">
        <v>243</v>
      </c>
      <c r="C44" s="107" t="s">
        <v>244</v>
      </c>
      <c r="D44" s="125" t="s">
        <v>245</v>
      </c>
      <c r="E44" s="125"/>
      <c r="F44" s="126" t="s">
        <v>202</v>
      </c>
      <c r="G44" s="118"/>
      <c r="H44" s="119" t="s">
        <v>241</v>
      </c>
      <c r="I44" s="118"/>
      <c r="J44" s="138" t="s">
        <v>105</v>
      </c>
      <c r="K44" s="31" t="s">
        <v>128</v>
      </c>
      <c r="L44" s="62"/>
    </row>
    <row r="45" spans="1:12">
      <c r="A45" s="14" t="s">
        <v>380</v>
      </c>
      <c r="B45" s="34"/>
      <c r="C45" s="36"/>
      <c r="D45" s="34"/>
      <c r="E45" s="34"/>
      <c r="F45" s="61"/>
      <c r="G45" s="118"/>
      <c r="H45" s="39"/>
      <c r="I45" s="39"/>
      <c r="J45" s="36"/>
      <c r="K45" s="61"/>
      <c r="L45" s="62"/>
    </row>
    <row r="46" spans="1:12" ht="5" customHeight="1">
      <c r="A46" s="59"/>
      <c r="B46" s="34"/>
      <c r="C46" s="36"/>
      <c r="D46" s="34"/>
      <c r="E46" s="34"/>
      <c r="F46" s="61"/>
      <c r="G46" s="118"/>
      <c r="H46" s="39"/>
      <c r="I46" s="39"/>
      <c r="J46" s="36"/>
      <c r="K46" s="61"/>
      <c r="L46" s="62"/>
    </row>
    <row r="47" spans="1:12">
      <c r="A47" s="66" t="s">
        <v>381</v>
      </c>
      <c r="B47" s="34"/>
      <c r="C47" s="36"/>
      <c r="D47" s="34"/>
      <c r="E47" s="34"/>
      <c r="F47" s="31"/>
      <c r="G47" s="118"/>
      <c r="H47" s="39"/>
      <c r="I47" s="39"/>
      <c r="J47" s="32"/>
      <c r="K47" s="31"/>
      <c r="L47" s="62"/>
    </row>
    <row r="48" spans="1:12">
      <c r="A48" s="245" t="s">
        <v>130</v>
      </c>
      <c r="B48" s="34">
        <v>39.593406522819635</v>
      </c>
      <c r="C48" s="36">
        <v>2934.7224477307791</v>
      </c>
      <c r="D48" s="34">
        <v>36496.971848684989</v>
      </c>
      <c r="E48" s="34"/>
      <c r="F48" s="61">
        <f>IF(D48&lt;&gt;0,C48/D48,0)</f>
        <v>8.0410025793318504E-2</v>
      </c>
      <c r="G48" s="118"/>
      <c r="H48" s="39">
        <v>1.3010789984537243</v>
      </c>
      <c r="I48" s="39"/>
      <c r="J48" s="36">
        <f>C48*H48</f>
        <v>3818.3057430332242</v>
      </c>
      <c r="K48" s="61">
        <f>F48*(H48)</f>
        <v>0.10461979582480897</v>
      </c>
      <c r="L48" s="62"/>
    </row>
    <row r="49" spans="1:12">
      <c r="A49" s="246" t="s">
        <v>131</v>
      </c>
      <c r="B49" s="34">
        <v>8.2314070352962929</v>
      </c>
      <c r="C49" s="36">
        <v>318.95055455761729</v>
      </c>
      <c r="D49" s="34">
        <v>17849.627244458265</v>
      </c>
      <c r="E49" s="34"/>
      <c r="F49" s="61">
        <f>IF(D49&lt;&gt;0,C49/D49,0)</f>
        <v>1.7868751553713324E-2</v>
      </c>
      <c r="G49" s="118"/>
      <c r="H49" s="39">
        <v>1.2077066130157168</v>
      </c>
      <c r="I49" s="39"/>
      <c r="J49" s="36">
        <f>C49*H49</f>
        <v>385.19869396426458</v>
      </c>
      <c r="K49" s="61">
        <f>F49*(H49)</f>
        <v>2.1580209417754445E-2</v>
      </c>
      <c r="L49" s="62"/>
    </row>
    <row r="50" spans="1:12">
      <c r="A50" s="245" t="s">
        <v>132</v>
      </c>
      <c r="B50" s="24">
        <v>2.9051432564038513</v>
      </c>
      <c r="C50" s="36">
        <v>137.12948081672425</v>
      </c>
      <c r="D50" s="24">
        <v>6299.7400075349105</v>
      </c>
      <c r="E50" s="34"/>
      <c r="F50" s="61">
        <f>IF(D50&lt;&gt;0,C50/D50,0)</f>
        <v>2.1767482571139161E-2</v>
      </c>
      <c r="G50" s="118"/>
      <c r="H50" s="39">
        <v>1.4559921991063358</v>
      </c>
      <c r="I50" s="39"/>
      <c r="J50" s="36">
        <f>C50*H50</f>
        <v>199.65945433665243</v>
      </c>
      <c r="K50" s="61">
        <f>F50*(H50)</f>
        <v>3.1693284817761742E-2</v>
      </c>
      <c r="L50" s="62"/>
    </row>
    <row r="51" spans="1:12">
      <c r="A51" s="245" t="s">
        <v>102</v>
      </c>
      <c r="B51" s="24">
        <v>0.17296015324100658</v>
      </c>
      <c r="C51" s="36">
        <v>7.6405839534827642</v>
      </c>
      <c r="D51" s="24">
        <v>375.06033297322182</v>
      </c>
      <c r="E51" s="34"/>
      <c r="F51" s="61">
        <f>IF(D51&lt;&gt;0,C51/D51,0)</f>
        <v>2.0371612996003711E-2</v>
      </c>
      <c r="G51" s="118"/>
      <c r="H51" s="39">
        <v>1.2077066130157168</v>
      </c>
      <c r="I51" s="39"/>
      <c r="J51" s="36">
        <f>C51*H51</f>
        <v>9.2275837679229049</v>
      </c>
      <c r="K51" s="61">
        <f>F51*(H51)</f>
        <v>2.4602931733070602E-2</v>
      </c>
      <c r="L51" s="62"/>
    </row>
    <row r="52" spans="1:12">
      <c r="A52" s="245" t="s">
        <v>272</v>
      </c>
      <c r="B52" s="24">
        <f>SUM(B48:B51)</f>
        <v>50.902916967760788</v>
      </c>
      <c r="C52" s="36">
        <f>SUM(C48:C51)</f>
        <v>3398.4430670586034</v>
      </c>
      <c r="D52" s="24">
        <f>SUM(D48:D51)</f>
        <v>61021.399433651379</v>
      </c>
      <c r="E52" s="34"/>
      <c r="F52" s="31"/>
      <c r="G52" s="118"/>
      <c r="H52" s="39"/>
      <c r="I52" s="39"/>
      <c r="J52" s="36">
        <f>SUM(J48:J51)</f>
        <v>4412.3914751020639</v>
      </c>
      <c r="K52" s="61">
        <f>SUMPRODUCT(K48:K51,D48:D51)/D52</f>
        <v>7.2308919756906939E-2</v>
      </c>
      <c r="L52" s="62"/>
    </row>
    <row r="53" spans="1:12">
      <c r="A53" s="18"/>
      <c r="B53" s="34"/>
      <c r="C53" s="34"/>
      <c r="D53" s="34"/>
      <c r="E53" s="34"/>
      <c r="F53" s="61"/>
      <c r="G53" s="118"/>
      <c r="H53" s="39"/>
      <c r="I53" s="39"/>
      <c r="J53" s="36"/>
      <c r="K53" s="61"/>
      <c r="L53" s="62"/>
    </row>
    <row r="54" spans="1:12" ht="5" customHeight="1">
      <c r="B54" s="42"/>
      <c r="C54" s="42"/>
      <c r="D54" s="42"/>
      <c r="E54" s="30"/>
      <c r="F54" s="31"/>
      <c r="G54" s="118"/>
      <c r="H54" s="39"/>
      <c r="I54" s="39"/>
      <c r="J54" s="32"/>
      <c r="K54" s="31"/>
    </row>
    <row r="55" spans="1:12">
      <c r="A55" s="66" t="s">
        <v>382</v>
      </c>
      <c r="B55" s="42"/>
      <c r="C55" s="42"/>
      <c r="D55" s="42"/>
      <c r="E55" s="30"/>
      <c r="F55" s="31"/>
      <c r="G55" s="118"/>
      <c r="H55" s="39"/>
      <c r="I55" s="39"/>
      <c r="J55" s="32"/>
      <c r="K55" s="31"/>
    </row>
    <row r="56" spans="1:12">
      <c r="A56" s="245" t="s">
        <v>130</v>
      </c>
      <c r="B56" s="34">
        <v>21.872895107982977</v>
      </c>
      <c r="C56" s="36">
        <v>1621.2516655585575</v>
      </c>
      <c r="D56" s="34">
        <v>20162.30749292051</v>
      </c>
      <c r="E56" s="34"/>
      <c r="F56" s="61">
        <f>IF(D56&lt;&gt;0,C56/D56,0)</f>
        <v>8.0410025793318518E-2</v>
      </c>
      <c r="G56" s="118"/>
      <c r="H56" s="39">
        <v>1.3010789984537243</v>
      </c>
      <c r="I56" s="39"/>
      <c r="J56" s="36">
        <f>C56*H56</f>
        <v>2109.3764932663603</v>
      </c>
      <c r="K56" s="61">
        <f>F56*(H56)</f>
        <v>0.104619795824809</v>
      </c>
    </row>
    <row r="57" spans="1:12">
      <c r="A57" s="246" t="s">
        <v>131</v>
      </c>
      <c r="B57" s="34">
        <v>4.3453776588436286</v>
      </c>
      <c r="C57" s="36">
        <v>168.3746907554752</v>
      </c>
      <c r="D57" s="34">
        <v>9422.857005389671</v>
      </c>
      <c r="E57" s="34"/>
      <c r="F57" s="61">
        <f>IF(D57&lt;&gt;0,C57/D57,0)</f>
        <v>1.7868751553713327E-2</v>
      </c>
      <c r="G57" s="118"/>
      <c r="H57" s="39">
        <v>1.2077066130157168</v>
      </c>
      <c r="I57" s="39"/>
      <c r="J57" s="36">
        <f>C57*H57</f>
        <v>203.34722748986368</v>
      </c>
      <c r="K57" s="61">
        <f>F57*(H57)</f>
        <v>2.1580209417754449E-2</v>
      </c>
    </row>
    <row r="58" spans="1:12">
      <c r="A58" s="245" t="s">
        <v>132</v>
      </c>
      <c r="B58" s="24">
        <v>1.3322349988622655</v>
      </c>
      <c r="C58" s="36">
        <v>62.8845731848673</v>
      </c>
      <c r="D58" s="24">
        <v>2888.9226385895463</v>
      </c>
      <c r="E58" s="34"/>
      <c r="F58" s="61">
        <f>IF(D58&lt;&gt;0,C58/D58,0)</f>
        <v>2.1767482571139158E-2</v>
      </c>
      <c r="G58" s="118"/>
      <c r="H58" s="39">
        <v>1.4559921991063358</v>
      </c>
      <c r="I58" s="39"/>
      <c r="J58" s="36">
        <f>C58*H58</f>
        <v>91.55944800129825</v>
      </c>
      <c r="K58" s="61">
        <f>F58*(H58)</f>
        <v>3.1693284817761742E-2</v>
      </c>
    </row>
    <row r="59" spans="1:12">
      <c r="A59" s="245" t="s">
        <v>102</v>
      </c>
      <c r="B59" s="24">
        <v>6.9184845385462629E-2</v>
      </c>
      <c r="C59" s="36">
        <v>3.056268218840966</v>
      </c>
      <c r="D59" s="24">
        <v>150.02583346937294</v>
      </c>
      <c r="E59" s="34"/>
      <c r="F59" s="61">
        <f>IF(D59&lt;&gt;0,C59/D59,0)</f>
        <v>2.0371612996003707E-2</v>
      </c>
      <c r="G59" s="118"/>
      <c r="H59" s="39">
        <v>1.2077066130157168</v>
      </c>
      <c r="I59" s="39"/>
      <c r="J59" s="36">
        <f>C59*H59</f>
        <v>3.6910753390440005</v>
      </c>
      <c r="K59" s="61">
        <f>F59*(H59)</f>
        <v>2.4602931733070595E-2</v>
      </c>
    </row>
    <row r="60" spans="1:12">
      <c r="A60" s="245" t="s">
        <v>272</v>
      </c>
      <c r="B60" s="24">
        <f>SUM(B56:B59)</f>
        <v>27.619692611074331</v>
      </c>
      <c r="C60" s="36">
        <f>SUM(C56:C59)</f>
        <v>1855.5671977177412</v>
      </c>
      <c r="D60" s="24">
        <f>SUM(D56:D59)</f>
        <v>32624.112970369097</v>
      </c>
      <c r="E60" s="34"/>
      <c r="F60" s="31"/>
      <c r="G60" s="118"/>
      <c r="H60" s="39"/>
      <c r="I60" s="39"/>
      <c r="J60" s="36">
        <f>SUM(J56:J59)</f>
        <v>2407.9742440965661</v>
      </c>
      <c r="K60" s="61">
        <f>SUMPRODUCT(K56:K59,D56:D59)/D60</f>
        <v>7.3809646450268621E-2</v>
      </c>
    </row>
    <row r="61" spans="1:12" ht="5" customHeight="1">
      <c r="B61" s="34"/>
      <c r="C61" s="34"/>
      <c r="D61" s="34"/>
      <c r="E61" s="34"/>
      <c r="F61" s="31"/>
      <c r="G61" s="118"/>
      <c r="H61" s="39"/>
      <c r="I61" s="39"/>
      <c r="J61" s="32"/>
      <c r="K61" s="31"/>
    </row>
    <row r="62" spans="1:12">
      <c r="A62" s="66" t="s">
        <v>383</v>
      </c>
      <c r="B62" s="4"/>
      <c r="C62" s="4"/>
      <c r="D62" s="4"/>
      <c r="E62" s="4"/>
      <c r="F62" s="4"/>
      <c r="G62" s="4"/>
      <c r="I62" s="4"/>
      <c r="J62" s="4"/>
      <c r="K62" s="4"/>
    </row>
    <row r="63" spans="1:12">
      <c r="A63" s="245" t="s">
        <v>130</v>
      </c>
      <c r="B63" s="34">
        <v>10.932309356673285</v>
      </c>
      <c r="C63" s="36">
        <v>810.31910341119885</v>
      </c>
      <c r="D63" s="34">
        <v>10077.339180241013</v>
      </c>
      <c r="E63" s="4"/>
      <c r="F63" s="61">
        <f>IF(D63&lt;&gt;0,C63/D63,0)</f>
        <v>8.041002579331849E-2</v>
      </c>
      <c r="G63" s="4"/>
      <c r="H63" s="39">
        <v>1.3010789984537243</v>
      </c>
      <c r="I63" s="4"/>
      <c r="J63" s="36">
        <f>C63*H63</f>
        <v>1054.2891674941625</v>
      </c>
      <c r="K63" s="61">
        <f>F63*(H63)</f>
        <v>0.10461979582480896</v>
      </c>
    </row>
    <row r="64" spans="1:12">
      <c r="A64" s="246" t="s">
        <v>131</v>
      </c>
      <c r="B64" s="34">
        <v>2.8013028166279468</v>
      </c>
      <c r="C64" s="36">
        <v>108.54487975337233</v>
      </c>
      <c r="D64" s="34">
        <v>6074.5642708774185</v>
      </c>
      <c r="E64" s="4"/>
      <c r="F64" s="61">
        <f>IF(D64&lt;&gt;0,C64/D64,0)</f>
        <v>1.7868751553713327E-2</v>
      </c>
      <c r="G64" s="4"/>
      <c r="H64" s="39">
        <v>1.2077066130157168</v>
      </c>
      <c r="I64" s="4"/>
      <c r="J64" s="36">
        <f>C64*H64</f>
        <v>131.09036908714356</v>
      </c>
      <c r="K64" s="61">
        <f>F64*(H64)</f>
        <v>2.1580209417754449E-2</v>
      </c>
    </row>
    <row r="65" spans="1:13">
      <c r="A65" s="245" t="s">
        <v>132</v>
      </c>
      <c r="B65" s="24">
        <v>1.5914843315482163</v>
      </c>
      <c r="C65" s="36">
        <v>75.121741288347792</v>
      </c>
      <c r="D65" s="24">
        <v>3451.099181673374</v>
      </c>
      <c r="E65" s="4"/>
      <c r="F65" s="61">
        <f>IF(D65&lt;&gt;0,C65/D65,0)</f>
        <v>2.1767482571139161E-2</v>
      </c>
      <c r="G65" s="4"/>
      <c r="H65" s="39">
        <v>1.4559921991063358</v>
      </c>
      <c r="I65" s="4"/>
      <c r="J65" s="36">
        <f>C65*H65</f>
        <v>109.37666929911873</v>
      </c>
      <c r="K65" s="61">
        <f>F65*(H65)</f>
        <v>3.1693284817761742E-2</v>
      </c>
    </row>
    <row r="66" spans="1:13">
      <c r="A66" s="245" t="s">
        <v>102</v>
      </c>
      <c r="B66" s="24">
        <v>0.1287006685605139</v>
      </c>
      <c r="C66" s="36">
        <v>5.6854035139281249</v>
      </c>
      <c r="D66" s="24">
        <v>279.08460243395695</v>
      </c>
      <c r="E66" s="4"/>
      <c r="F66" s="61">
        <f>IF(D66&lt;&gt;0,C66/D66,0)</f>
        <v>2.0371612996003707E-2</v>
      </c>
      <c r="G66" s="4"/>
      <c r="H66" s="39">
        <v>1.2077066130157168</v>
      </c>
      <c r="I66" s="4"/>
      <c r="J66" s="36">
        <f>C66*H66</f>
        <v>6.8662994214337907</v>
      </c>
      <c r="K66" s="61">
        <f>F66*(H66)</f>
        <v>2.4602931733070595E-2</v>
      </c>
    </row>
    <row r="67" spans="1:13">
      <c r="A67" s="245" t="s">
        <v>272</v>
      </c>
      <c r="B67" s="24">
        <f>SUM(B63:B66)</f>
        <v>15.453797173409962</v>
      </c>
      <c r="C67" s="36">
        <f>SUM(C63:C66)</f>
        <v>999.67112796684717</v>
      </c>
      <c r="D67" s="24">
        <f>SUM(D63:D66)</f>
        <v>19882.087235225761</v>
      </c>
      <c r="E67" s="4"/>
      <c r="F67" s="4"/>
      <c r="G67" s="4"/>
      <c r="I67" s="4"/>
      <c r="J67" s="36">
        <f>SUM(J63:J66)</f>
        <v>1301.6225053018584</v>
      </c>
      <c r="K67" s="61">
        <f>SUMPRODUCT(K63:K66,D63:D66)/D67</f>
        <v>6.5467095577155007E-2</v>
      </c>
    </row>
    <row r="68" spans="1:13" ht="5" customHeight="1">
      <c r="A68" s="18"/>
      <c r="B68" s="34"/>
      <c r="C68" s="36"/>
      <c r="D68" s="34"/>
      <c r="E68" s="34"/>
      <c r="F68" s="31"/>
      <c r="G68" s="118"/>
      <c r="H68" s="39"/>
      <c r="I68" s="39"/>
      <c r="J68" s="32"/>
      <c r="K68" s="31"/>
    </row>
    <row r="69" spans="1:13" ht="12.75" customHeight="1">
      <c r="A69" s="66" t="s">
        <v>384</v>
      </c>
      <c r="B69" s="34"/>
      <c r="C69" s="36"/>
      <c r="D69" s="34"/>
      <c r="E69" s="34"/>
      <c r="F69" s="61"/>
      <c r="G69" s="118"/>
      <c r="H69" s="39"/>
      <c r="I69" s="39"/>
      <c r="J69" s="36"/>
      <c r="K69" s="61"/>
    </row>
    <row r="70" spans="1:13" ht="12.75" customHeight="1">
      <c r="A70" s="245" t="s">
        <v>130</v>
      </c>
      <c r="B70" s="34">
        <f t="shared" ref="B70:D73" si="1">SUM(B48,B56,B63)</f>
        <v>72.398610987475891</v>
      </c>
      <c r="C70" s="36">
        <f t="shared" si="1"/>
        <v>5366.2932167005356</v>
      </c>
      <c r="D70" s="34">
        <f t="shared" si="1"/>
        <v>66736.618521846511</v>
      </c>
      <c r="E70" s="34"/>
      <c r="F70" s="61">
        <f>IF(D70&lt;&gt;0,C70/D70,0)</f>
        <v>8.0410025793318504E-2</v>
      </c>
      <c r="G70" s="118"/>
      <c r="H70" s="39">
        <v>1.3010789984537243</v>
      </c>
      <c r="I70" s="39"/>
      <c r="J70" s="36">
        <f>C70*H70</f>
        <v>6981.9714037937474</v>
      </c>
      <c r="K70" s="61">
        <f>F70*(H70)</f>
        <v>0.10461979582480897</v>
      </c>
    </row>
    <row r="71" spans="1:13" ht="12.75" customHeight="1">
      <c r="A71" s="246" t="s">
        <v>131</v>
      </c>
      <c r="B71" s="34">
        <f t="shared" si="1"/>
        <v>15.378087510767868</v>
      </c>
      <c r="C71" s="36">
        <f t="shared" si="1"/>
        <v>595.87012506646488</v>
      </c>
      <c r="D71" s="34">
        <f t="shared" si="1"/>
        <v>33347.048520725351</v>
      </c>
      <c r="E71" s="34"/>
      <c r="F71" s="61">
        <f>IF(D71&lt;&gt;0,C71/D71,0)</f>
        <v>1.7868751553713327E-2</v>
      </c>
      <c r="G71" s="118"/>
      <c r="H71" s="39">
        <v>1.2077066130157168</v>
      </c>
      <c r="I71" s="39"/>
      <c r="J71" s="36">
        <f>C71*H71</f>
        <v>719.63629054127182</v>
      </c>
      <c r="K71" s="61">
        <f>F71*(H71)</f>
        <v>2.1580209417754449E-2</v>
      </c>
    </row>
    <row r="72" spans="1:13" ht="12.75" customHeight="1">
      <c r="A72" s="245" t="s">
        <v>132</v>
      </c>
      <c r="B72" s="34">
        <f t="shared" si="1"/>
        <v>5.8288625868143331</v>
      </c>
      <c r="C72" s="36">
        <f t="shared" si="1"/>
        <v>275.13579528993932</v>
      </c>
      <c r="D72" s="34">
        <f t="shared" si="1"/>
        <v>12639.761827797829</v>
      </c>
      <c r="E72" s="34"/>
      <c r="F72" s="61">
        <f>IF(D72&lt;&gt;0,C72/D72,0)</f>
        <v>2.1767482571139161E-2</v>
      </c>
      <c r="G72" s="118"/>
      <c r="H72" s="39">
        <v>1.4559921991063358</v>
      </c>
      <c r="I72" s="39"/>
      <c r="J72" s="36">
        <f>C72*H72</f>
        <v>400.59557163706938</v>
      </c>
      <c r="K72" s="61">
        <f>F72*(H72)</f>
        <v>3.1693284817761742E-2</v>
      </c>
    </row>
    <row r="73" spans="1:13" ht="12.75" customHeight="1">
      <c r="A73" s="245" t="s">
        <v>102</v>
      </c>
      <c r="B73" s="34">
        <f t="shared" si="1"/>
        <v>0.37084566718698309</v>
      </c>
      <c r="C73" s="36">
        <f t="shared" si="1"/>
        <v>16.382255686251856</v>
      </c>
      <c r="D73" s="34">
        <f t="shared" si="1"/>
        <v>804.17076887655162</v>
      </c>
      <c r="E73" s="34"/>
      <c r="F73" s="61">
        <f>IF(D73&lt;&gt;0,C73/D73,0)</f>
        <v>2.0371612996003711E-2</v>
      </c>
      <c r="G73" s="118"/>
      <c r="H73" s="39">
        <v>1.2077066130157168</v>
      </c>
      <c r="I73" s="39"/>
      <c r="J73" s="36">
        <f>C73*H73</f>
        <v>19.784958528400697</v>
      </c>
      <c r="K73" s="61">
        <f>F73*(H73)</f>
        <v>2.4602931733070602E-2</v>
      </c>
    </row>
    <row r="74" spans="1:13" ht="12.75" customHeight="1">
      <c r="A74" s="245" t="s">
        <v>97</v>
      </c>
      <c r="B74" s="34">
        <f>SUM(B70:B73)</f>
        <v>93.976406752245083</v>
      </c>
      <c r="C74" s="36">
        <f>SUM(C70:C73)</f>
        <v>6253.6813927431913</v>
      </c>
      <c r="D74" s="34">
        <f>SUM(D70:D73)</f>
        <v>113527.59963924624</v>
      </c>
      <c r="E74" s="34"/>
      <c r="F74" s="31"/>
      <c r="G74" s="118"/>
      <c r="H74" s="39"/>
      <c r="I74" s="39"/>
      <c r="J74" s="36">
        <f>SUM(J70:J73)</f>
        <v>8121.9882245004892</v>
      </c>
      <c r="K74" s="61">
        <f>SUMPRODUCT(K70:K73,D70:D73)/D74</f>
        <v>7.1541970853867459E-2</v>
      </c>
    </row>
    <row r="75" spans="1:13" ht="5" customHeight="1">
      <c r="A75" s="18"/>
      <c r="B75" s="34"/>
      <c r="C75" s="36"/>
      <c r="D75" s="34"/>
      <c r="E75" s="34"/>
      <c r="F75" s="31"/>
      <c r="G75" s="118"/>
      <c r="H75" s="39"/>
      <c r="I75" s="39"/>
      <c r="J75" s="32"/>
      <c r="K75" s="31"/>
    </row>
    <row r="76" spans="1:13">
      <c r="A76" s="59"/>
      <c r="B76" s="34"/>
      <c r="C76" s="36"/>
      <c r="D76" s="34"/>
      <c r="E76" s="34"/>
      <c r="F76" s="61"/>
      <c r="G76" s="118"/>
      <c r="H76" s="39"/>
      <c r="I76" s="39"/>
      <c r="J76" s="36"/>
      <c r="K76" s="61"/>
      <c r="L76" s="62"/>
    </row>
    <row r="77" spans="1:13">
      <c r="A77" s="14" t="s">
        <v>280</v>
      </c>
      <c r="B77" s="20"/>
      <c r="C77" s="32"/>
      <c r="D77" s="30"/>
      <c r="E77" s="30"/>
      <c r="F77" s="31"/>
      <c r="G77" s="118"/>
      <c r="H77" s="39"/>
      <c r="I77" s="39"/>
      <c r="J77" s="32"/>
      <c r="K77" s="31"/>
    </row>
    <row r="78" spans="1:13">
      <c r="A78" s="245" t="s">
        <v>130</v>
      </c>
      <c r="B78" s="34">
        <v>237.10907041615042</v>
      </c>
      <c r="C78" s="36">
        <v>17574.878562414229</v>
      </c>
      <c r="D78" s="34">
        <v>617936.58016425662</v>
      </c>
      <c r="E78" s="34"/>
      <c r="F78" s="61">
        <f>IF(D78&lt;&gt;0,C78/D78,0)</f>
        <v>2.8441233496393058E-2</v>
      </c>
      <c r="G78" s="118"/>
      <c r="H78" s="39">
        <v>1.3010789984537243</v>
      </c>
      <c r="I78" s="39"/>
      <c r="J78" s="36">
        <f>C78*H78</f>
        <v>22866.305397931737</v>
      </c>
      <c r="K78" s="61">
        <f>F78*(H78)</f>
        <v>3.7004291592275598E-2</v>
      </c>
      <c r="M78" s="48"/>
    </row>
    <row r="79" spans="1:13">
      <c r="A79" s="246" t="s">
        <v>131</v>
      </c>
      <c r="B79" s="34">
        <v>76.295671953218559</v>
      </c>
      <c r="C79" s="36">
        <v>2956.3046482185255</v>
      </c>
      <c r="D79" s="34">
        <v>237388.67787163952</v>
      </c>
      <c r="E79" s="34"/>
      <c r="F79" s="61">
        <f>IF(D79&lt;&gt;0,C79/D79,0)</f>
        <v>1.245343575238687E-2</v>
      </c>
      <c r="G79" s="118"/>
      <c r="H79" s="39">
        <v>1.2077066130157168</v>
      </c>
      <c r="I79" s="39"/>
      <c r="J79" s="36">
        <f>C79*H79</f>
        <v>3570.3486737426156</v>
      </c>
      <c r="K79" s="61">
        <f>F79*(H79)</f>
        <v>1.5040096712923981E-2</v>
      </c>
      <c r="M79" s="48"/>
    </row>
    <row r="80" spans="1:13">
      <c r="A80" s="245" t="s">
        <v>132</v>
      </c>
      <c r="B80" s="34">
        <v>35.478848849999054</v>
      </c>
      <c r="C80" s="36">
        <v>1818.9792932301416</v>
      </c>
      <c r="D80" s="34">
        <v>110389.97108608228</v>
      </c>
      <c r="E80" s="34"/>
      <c r="F80" s="61">
        <f>IF(D80&lt;&gt;0,C80/D80,0)</f>
        <v>1.6477758580185683E-2</v>
      </c>
      <c r="G80" s="118"/>
      <c r="H80" s="39">
        <v>1.4559921991063358</v>
      </c>
      <c r="I80" s="39"/>
      <c r="J80" s="36">
        <f>C80*H80</f>
        <v>2648.4196612790424</v>
      </c>
      <c r="K80" s="61">
        <f>F80*(H80)</f>
        <v>2.3991487951507847E-2</v>
      </c>
      <c r="M80" s="48"/>
    </row>
    <row r="81" spans="1:14">
      <c r="A81" s="245" t="s">
        <v>102</v>
      </c>
      <c r="B81" s="34">
        <v>1.3394245794282738</v>
      </c>
      <c r="C81" s="36">
        <v>59.169616566075767</v>
      </c>
      <c r="D81" s="34">
        <v>4167.5264386454019</v>
      </c>
      <c r="E81" s="34"/>
      <c r="F81" s="61">
        <f>IF(D81&lt;&gt;0,C81/D81,0)</f>
        <v>1.4197778331385476E-2</v>
      </c>
      <c r="G81" s="118"/>
      <c r="H81" s="39">
        <v>1.2077066130157168</v>
      </c>
      <c r="I81" s="39"/>
      <c r="J81" s="36">
        <f>C81*H81</f>
        <v>71.459537216454009</v>
      </c>
      <c r="K81" s="61">
        <f>F81*(H81)</f>
        <v>1.7146750780945488E-2</v>
      </c>
      <c r="M81" s="48"/>
    </row>
    <row r="82" spans="1:14">
      <c r="A82" s="245" t="s">
        <v>97</v>
      </c>
      <c r="B82" s="34">
        <f>SUM(B78:B81)</f>
        <v>350.22301579879633</v>
      </c>
      <c r="C82" s="36">
        <f>SUM(C78:C81)</f>
        <v>22409.332120428975</v>
      </c>
      <c r="D82" s="34">
        <f>SUM(D78:D81)</f>
        <v>969882.75556062383</v>
      </c>
      <c r="E82" s="34"/>
      <c r="F82" s="61">
        <f>IF(D82&lt;&gt;0,C82/D82,0)</f>
        <v>2.3105196985872434E-2</v>
      </c>
      <c r="G82" s="118"/>
      <c r="H82" s="39"/>
      <c r="I82" s="39"/>
      <c r="J82" s="36">
        <f>SUM(J78:J81)</f>
        <v>29156.533270169853</v>
      </c>
      <c r="K82" s="61">
        <f>SUMPRODUCT(K78:K81,D78:D81)/D82</f>
        <v>3.0061915322245756E-2</v>
      </c>
      <c r="M82" s="48"/>
    </row>
    <row r="83" spans="1:14" ht="5" customHeight="1">
      <c r="B83" s="42"/>
      <c r="C83" s="36"/>
      <c r="D83" s="34"/>
      <c r="E83" s="34"/>
      <c r="F83" s="35"/>
      <c r="G83" s="20"/>
      <c r="H83" s="40"/>
      <c r="I83" s="40"/>
      <c r="J83" s="36"/>
      <c r="K83" s="31"/>
    </row>
    <row r="84" spans="1:14" ht="12.75" customHeight="1"/>
    <row r="85" spans="1:14" ht="16">
      <c r="A85" s="117" t="s">
        <v>54</v>
      </c>
    </row>
    <row r="86" spans="1:14" ht="16">
      <c r="A86" s="117" t="s">
        <v>780</v>
      </c>
    </row>
    <row r="87" spans="1:14" ht="28">
      <c r="B87" s="138" t="s">
        <v>218</v>
      </c>
      <c r="C87" s="107" t="s">
        <v>212</v>
      </c>
      <c r="D87" s="125" t="s">
        <v>217</v>
      </c>
      <c r="E87" s="125"/>
      <c r="F87" s="126" t="s">
        <v>202</v>
      </c>
      <c r="G87" s="118"/>
      <c r="H87" s="119" t="s">
        <v>241</v>
      </c>
      <c r="I87" s="118"/>
      <c r="J87" s="138" t="s">
        <v>105</v>
      </c>
      <c r="K87" s="31" t="s">
        <v>128</v>
      </c>
    </row>
    <row r="88" spans="1:14">
      <c r="A88" s="17" t="s">
        <v>385</v>
      </c>
      <c r="B88" s="42"/>
      <c r="C88" s="36"/>
      <c r="D88" s="34"/>
      <c r="E88" s="34"/>
      <c r="F88" s="35"/>
      <c r="G88" s="20"/>
      <c r="H88" s="40"/>
      <c r="I88" s="40"/>
      <c r="J88" s="36"/>
      <c r="K88" s="31"/>
      <c r="N88" s="48"/>
    </row>
    <row r="89" spans="1:14">
      <c r="A89" s="18" t="s">
        <v>181</v>
      </c>
      <c r="B89" s="42"/>
      <c r="C89" s="36"/>
      <c r="D89" s="34"/>
      <c r="E89" s="34"/>
      <c r="F89" s="35"/>
      <c r="G89" s="20"/>
      <c r="H89" s="40"/>
      <c r="I89" s="40"/>
      <c r="J89" s="36"/>
      <c r="K89" s="31"/>
      <c r="N89" s="48"/>
    </row>
    <row r="90" spans="1:14" ht="14">
      <c r="A90" s="59" t="s">
        <v>133</v>
      </c>
      <c r="B90" s="41" t="s">
        <v>101</v>
      </c>
      <c r="C90" s="36">
        <f>'Table 3.14-Route UAA'!C90*SUM($D$103,$D$109)/SUM($D$103,$D$109,'Table 3.15-Route UAA NoPARS'!$D$103,'Table 3.15-Route UAA NoPARS'!$D$109)</f>
        <v>10789.811649430176</v>
      </c>
      <c r="D90" s="30">
        <f>'Table 3.14-Route UAA'!D90*SUM($D$103,$D$109)/SUM($D$103,$D$109,'Table 3.15-Route UAA NoPARS'!$D$103,'Table 3.15-Route UAA NoPARS'!$D$109)</f>
        <v>163827.67311028342</v>
      </c>
      <c r="E90" s="24" t="s">
        <v>234</v>
      </c>
      <c r="F90" s="61">
        <f>IF(D90&lt;&gt;0,C90/D90,0)</f>
        <v>6.5860739181510738E-2</v>
      </c>
      <c r="G90" s="205" t="s">
        <v>235</v>
      </c>
      <c r="H90" s="39">
        <v>1.2964363113082193</v>
      </c>
      <c r="I90" s="39"/>
      <c r="J90" s="36">
        <f>C90*H90</f>
        <v>13988.30361449771</v>
      </c>
      <c r="K90" s="61">
        <f>F90*(H90)</f>
        <v>8.538425376451049E-2</v>
      </c>
    </row>
    <row r="91" spans="1:14" ht="14">
      <c r="A91" s="59" t="s">
        <v>774</v>
      </c>
      <c r="B91" s="41" t="s">
        <v>101</v>
      </c>
      <c r="C91" s="36">
        <f>'Table 3.14-Route UAA'!C91*SUM($D$103,$D$109)/SUM($D$103,$D$109,'Table 3.15-Route UAA NoPARS'!$D$103,'Table 3.15-Route UAA NoPARS'!$D$109)</f>
        <v>27795.055692307171</v>
      </c>
      <c r="D91" s="30">
        <f>'Table 3.14-Route UAA'!D91*SUM($D$103,$D$109)/SUM($D$103,$D$109,'Table 3.15-Route UAA NoPARS'!$D$103,'Table 3.15-Route UAA NoPARS'!$D$109)</f>
        <v>163827.67311028342</v>
      </c>
      <c r="E91" s="24" t="s">
        <v>234</v>
      </c>
      <c r="F91" s="61">
        <f>IF(D91&lt;&gt;0,C91/D91,0)</f>
        <v>0.16966032151110669</v>
      </c>
      <c r="G91" s="205" t="s">
        <v>235</v>
      </c>
      <c r="H91" s="248">
        <v>1.7055951497654467</v>
      </c>
      <c r="I91" s="39"/>
      <c r="J91" s="36">
        <f>C91*H91</f>
        <v>47407.112176259579</v>
      </c>
      <c r="K91" s="61">
        <f>F91*(H91)</f>
        <v>0.28937182147698987</v>
      </c>
      <c r="L91" s="28"/>
      <c r="M91" s="334"/>
    </row>
    <row r="92" spans="1:14">
      <c r="A92" s="18" t="s">
        <v>182</v>
      </c>
      <c r="B92" s="41"/>
      <c r="C92" s="36"/>
      <c r="D92" s="30"/>
      <c r="E92" s="30"/>
      <c r="F92" s="31"/>
      <c r="G92" s="118"/>
      <c r="H92" s="39"/>
      <c r="I92" s="39"/>
      <c r="J92" s="32"/>
      <c r="K92" s="31"/>
    </row>
    <row r="93" spans="1:14" ht="14">
      <c r="A93" s="59" t="s">
        <v>133</v>
      </c>
      <c r="B93" s="41" t="s">
        <v>101</v>
      </c>
      <c r="C93" s="36">
        <f>'Table 3.14-Route UAA'!C93*$D$111/SUM($D$111,'Table 3.15-Route UAA NoPARS'!$D$111)</f>
        <v>1037.6689046569702</v>
      </c>
      <c r="D93" s="30">
        <f>'Table 3.14-Route UAA'!D93*$D$111/SUM($D$111,'Table 3.15-Route UAA NoPARS'!$D$111)</f>
        <v>17363.435557386572</v>
      </c>
      <c r="E93" s="24" t="s">
        <v>234</v>
      </c>
      <c r="F93" s="61">
        <f>IF(D93&lt;&gt;0,C93/D93,0)</f>
        <v>5.9761727523763915E-2</v>
      </c>
      <c r="G93" s="205" t="s">
        <v>235</v>
      </c>
      <c r="H93" s="39">
        <v>1.2964363113082193</v>
      </c>
      <c r="I93" s="39"/>
      <c r="J93" s="36">
        <f>C93*H93</f>
        <v>1345.2716471127228</v>
      </c>
      <c r="K93" s="61">
        <f>F93*(H93)</f>
        <v>7.7477273588315382E-2</v>
      </c>
    </row>
    <row r="94" spans="1:14" ht="14">
      <c r="A94" s="59" t="s">
        <v>774</v>
      </c>
      <c r="B94" s="41" t="s">
        <v>101</v>
      </c>
      <c r="C94" s="36">
        <f>'Table 3.14-Route UAA'!C94*$D$111/SUM($D$111,'Table 3.15-Route UAA NoPARS'!$D$111)</f>
        <v>1715.3404110389704</v>
      </c>
      <c r="D94" s="30">
        <f>'Table 3.14-Route UAA'!D94*$D$111/SUM($D$111,'Table 3.15-Route UAA NoPARS'!$D$111)</f>
        <v>17363.435557386572</v>
      </c>
      <c r="E94" s="24" t="s">
        <v>234</v>
      </c>
      <c r="F94" s="61">
        <f>IF(D94&lt;&gt;0,C94/D94,0)</f>
        <v>9.8790380818918527E-2</v>
      </c>
      <c r="G94" s="205" t="s">
        <v>235</v>
      </c>
      <c r="H94" s="248">
        <v>1.7055951497654467</v>
      </c>
      <c r="I94" s="40"/>
      <c r="J94" s="36">
        <f>C94*H94</f>
        <v>2925.6762852647357</v>
      </c>
      <c r="K94" s="61">
        <f>F94*(H94)</f>
        <v>0.16849639436822886</v>
      </c>
      <c r="L94" s="28"/>
      <c r="M94" s="334"/>
    </row>
    <row r="95" spans="1:14">
      <c r="A95" s="59"/>
      <c r="B95" s="42"/>
      <c r="C95" s="36"/>
      <c r="D95" s="34"/>
      <c r="E95" s="34"/>
      <c r="F95" s="35"/>
      <c r="G95" s="20"/>
      <c r="H95" s="40"/>
      <c r="I95" s="40"/>
      <c r="J95" s="36"/>
      <c r="K95" s="31"/>
    </row>
    <row r="96" spans="1:14">
      <c r="A96" s="17" t="s">
        <v>386</v>
      </c>
      <c r="B96" s="42"/>
      <c r="C96" s="36"/>
      <c r="D96" s="34"/>
      <c r="E96" s="34"/>
      <c r="F96" s="35"/>
      <c r="G96" s="20"/>
      <c r="H96" s="40"/>
      <c r="I96" s="40"/>
      <c r="J96" s="36"/>
      <c r="K96" s="31"/>
    </row>
    <row r="97" spans="1:11" ht="5" customHeight="1">
      <c r="A97" s="17"/>
      <c r="B97" s="42"/>
      <c r="C97" s="36"/>
      <c r="D97" s="34"/>
      <c r="E97" s="34"/>
      <c r="F97" s="35"/>
      <c r="G97" s="20"/>
      <c r="H97" s="40"/>
      <c r="I97" s="40"/>
      <c r="J97" s="36"/>
      <c r="K97" s="31"/>
    </row>
    <row r="98" spans="1:11">
      <c r="A98" s="60" t="s">
        <v>279</v>
      </c>
      <c r="B98" s="42"/>
      <c r="C98" s="36"/>
      <c r="D98" s="34"/>
      <c r="E98" s="34"/>
      <c r="F98" s="35"/>
      <c r="G98" s="20"/>
      <c r="H98" s="40"/>
      <c r="I98" s="40"/>
      <c r="J98" s="36"/>
      <c r="K98" s="31"/>
    </row>
    <row r="99" spans="1:11" ht="14">
      <c r="A99" s="246" t="s">
        <v>275</v>
      </c>
      <c r="B99" s="41" t="s">
        <v>101</v>
      </c>
      <c r="C99" s="36" t="s">
        <v>101</v>
      </c>
      <c r="D99" s="30">
        <f>D11</f>
        <v>770334.7555022093</v>
      </c>
      <c r="E99" s="30"/>
      <c r="F99" s="41" t="s">
        <v>101</v>
      </c>
      <c r="G99" s="118"/>
      <c r="H99" s="41" t="s">
        <v>101</v>
      </c>
      <c r="I99" s="39"/>
      <c r="J99" s="36">
        <f>J11+SUM($J$90:$J$91)*D99/SUM($D$103,$D$109)</f>
        <v>90054.881071847805</v>
      </c>
      <c r="K99" s="61">
        <f>J99/D99</f>
        <v>0.11690356747974813</v>
      </c>
    </row>
    <row r="100" spans="1:11" ht="14">
      <c r="A100" s="246" t="s">
        <v>282</v>
      </c>
      <c r="B100" s="41" t="s">
        <v>101</v>
      </c>
      <c r="C100" s="36" t="s">
        <v>101</v>
      </c>
      <c r="D100" s="30">
        <f>D18</f>
        <v>131087.12684525002</v>
      </c>
      <c r="E100" s="30"/>
      <c r="F100" s="41" t="s">
        <v>101</v>
      </c>
      <c r="G100" s="118"/>
      <c r="H100" s="41" t="s">
        <v>101</v>
      </c>
      <c r="I100" s="39"/>
      <c r="J100" s="36">
        <f>J18+SUM($J$90:$J$91)*D100/SUM($D$103,$D$109)</f>
        <v>15113.995777398821</v>
      </c>
      <c r="K100" s="61">
        <f>J100/D100</f>
        <v>0.11529733041781502</v>
      </c>
    </row>
    <row r="101" spans="1:11" ht="14">
      <c r="A101" s="246" t="s">
        <v>277</v>
      </c>
      <c r="B101" s="41" t="s">
        <v>101</v>
      </c>
      <c r="C101" s="36" t="s">
        <v>101</v>
      </c>
      <c r="D101" s="30">
        <f>D25</f>
        <v>416092.9075552625</v>
      </c>
      <c r="E101" s="30"/>
      <c r="F101" s="41" t="s">
        <v>101</v>
      </c>
      <c r="G101" s="118"/>
      <c r="H101" s="41" t="s">
        <v>101</v>
      </c>
      <c r="I101" s="39"/>
      <c r="J101" s="36">
        <f>J25+SUM($J$90:$J$91)*D101/SUM($D$103,$D$109)</f>
        <v>48651.483848569012</v>
      </c>
      <c r="K101" s="61">
        <f>J101/D101</f>
        <v>0.1169245689248079</v>
      </c>
    </row>
    <row r="102" spans="1:11" ht="14">
      <c r="A102" s="246" t="s">
        <v>271</v>
      </c>
      <c r="B102" s="41" t="s">
        <v>101</v>
      </c>
      <c r="C102" s="36" t="s">
        <v>101</v>
      </c>
      <c r="D102" s="30">
        <f>D32</f>
        <v>0</v>
      </c>
      <c r="E102" s="30"/>
      <c r="F102" s="41" t="s">
        <v>101</v>
      </c>
      <c r="G102" s="118"/>
      <c r="H102" s="41" t="s">
        <v>101</v>
      </c>
      <c r="I102" s="39"/>
      <c r="J102" s="36">
        <f>J32+SUM($J$90:$J$91)*D102/SUM($D$103,$D$109)</f>
        <v>0</v>
      </c>
      <c r="K102" s="61">
        <f>IF(D102&lt;&gt;0,J102/D102,0)</f>
        <v>0</v>
      </c>
    </row>
    <row r="103" spans="1:11">
      <c r="A103" s="246" t="s">
        <v>276</v>
      </c>
      <c r="B103" s="41"/>
      <c r="C103" s="36"/>
      <c r="D103" s="30">
        <f>SUM(D99:D102)</f>
        <v>1317514.7899027218</v>
      </c>
      <c r="E103" s="30"/>
      <c r="F103" s="41"/>
      <c r="G103" s="118"/>
      <c r="H103" s="41"/>
      <c r="I103" s="39"/>
      <c r="J103" s="36">
        <f>SUM(J99:J102)</f>
        <v>153820.36069781563</v>
      </c>
      <c r="K103" s="61">
        <f>J103/D103</f>
        <v>0.11675038631571863</v>
      </c>
    </row>
    <row r="104" spans="1:11" ht="5" customHeight="1">
      <c r="A104" s="18"/>
      <c r="B104" s="41"/>
      <c r="C104" s="36"/>
      <c r="D104" s="30"/>
      <c r="E104" s="30"/>
      <c r="F104" s="41"/>
      <c r="G104" s="118"/>
      <c r="H104" s="41"/>
      <c r="I104" s="39"/>
      <c r="J104" s="36"/>
      <c r="K104" s="61"/>
    </row>
    <row r="105" spans="1:11">
      <c r="A105" s="60" t="s">
        <v>387</v>
      </c>
    </row>
    <row r="106" spans="1:11" ht="14">
      <c r="A106" s="246" t="s">
        <v>381</v>
      </c>
      <c r="B106" s="41" t="s">
        <v>101</v>
      </c>
      <c r="C106" s="36" t="s">
        <v>101</v>
      </c>
      <c r="D106" s="30">
        <f>D52</f>
        <v>61021.399433651379</v>
      </c>
      <c r="E106" s="30"/>
      <c r="F106" s="41" t="s">
        <v>101</v>
      </c>
      <c r="G106" s="118"/>
      <c r="H106" s="41" t="s">
        <v>101</v>
      </c>
      <c r="I106" s="39"/>
      <c r="J106" s="36">
        <f>J52+SUM($J$90:$J$91)*D106/SUM($D$103,$D$109)</f>
        <v>7030.3671673259851</v>
      </c>
      <c r="K106" s="61">
        <f>J106/D106</f>
        <v>0.11521150338366312</v>
      </c>
    </row>
    <row r="107" spans="1:11" ht="14">
      <c r="A107" s="246" t="s">
        <v>388</v>
      </c>
      <c r="B107" s="41" t="s">
        <v>101</v>
      </c>
      <c r="C107" s="36" t="s">
        <v>101</v>
      </c>
      <c r="D107" s="30">
        <f>D60</f>
        <v>32624.112970369097</v>
      </c>
      <c r="E107" s="30"/>
      <c r="F107" s="41" t="s">
        <v>101</v>
      </c>
      <c r="G107" s="118"/>
      <c r="H107" s="41" t="s">
        <v>101</v>
      </c>
      <c r="I107" s="39"/>
      <c r="J107" s="36">
        <f>J60+SUM($J$90:$J$91)*D107/SUM($D$103,$D$109)</f>
        <v>3807.6329790565678</v>
      </c>
      <c r="K107" s="61">
        <f>J107/D107</f>
        <v>0.11671223007702483</v>
      </c>
    </row>
    <row r="108" spans="1:11" ht="14">
      <c r="A108" s="246" t="s">
        <v>383</v>
      </c>
      <c r="B108" s="41" t="s">
        <v>101</v>
      </c>
      <c r="C108" s="36" t="s">
        <v>101</v>
      </c>
      <c r="D108" s="30">
        <f>D67</f>
        <v>19882.087235225761</v>
      </c>
      <c r="E108" s="30"/>
      <c r="F108" s="41" t="s">
        <v>101</v>
      </c>
      <c r="G108" s="118"/>
      <c r="H108" s="41" t="s">
        <v>101</v>
      </c>
      <c r="I108" s="39"/>
      <c r="J108" s="36">
        <f>J67+SUM($J$90:$J$91)*D108/SUM($D$103,$D$109)</f>
        <v>2154.6154155855934</v>
      </c>
      <c r="K108" s="61">
        <f>J108/D108</f>
        <v>0.10836967920391119</v>
      </c>
    </row>
    <row r="109" spans="1:11">
      <c r="A109" s="246" t="s">
        <v>389</v>
      </c>
      <c r="B109" s="41"/>
      <c r="C109" s="36"/>
      <c r="D109" s="30">
        <f>SUM(D106:D108)</f>
        <v>113527.59963924623</v>
      </c>
      <c r="E109" s="30"/>
      <c r="F109" s="41"/>
      <c r="G109" s="118"/>
      <c r="H109" s="41"/>
      <c r="I109" s="39"/>
      <c r="J109" s="36">
        <f>SUM(J106:J108)</f>
        <v>12992.615561968147</v>
      </c>
      <c r="K109" s="61">
        <f>J109/D109</f>
        <v>0.11444455448062367</v>
      </c>
    </row>
    <row r="110" spans="1:11" ht="5" customHeight="1">
      <c r="A110" s="18"/>
      <c r="B110" s="41"/>
      <c r="C110" s="36"/>
      <c r="D110" s="30"/>
      <c r="E110" s="30"/>
      <c r="F110" s="41"/>
      <c r="G110" s="118"/>
      <c r="H110" s="41"/>
      <c r="I110" s="39"/>
      <c r="J110" s="36"/>
      <c r="K110" s="61"/>
    </row>
    <row r="111" spans="1:11" ht="14">
      <c r="A111" s="60" t="s">
        <v>281</v>
      </c>
      <c r="B111" s="41" t="s">
        <v>101</v>
      </c>
      <c r="C111" s="36" t="s">
        <v>101</v>
      </c>
      <c r="D111" s="30">
        <f>D82</f>
        <v>969882.75556062383</v>
      </c>
      <c r="E111" s="205" t="s">
        <v>236</v>
      </c>
      <c r="F111" s="41"/>
      <c r="G111" s="118"/>
      <c r="H111" s="41"/>
      <c r="I111" s="39"/>
      <c r="J111" s="36">
        <f>SUM(J93:J94)+J82</f>
        <v>33427.481202547315</v>
      </c>
      <c r="K111" s="61">
        <f>J111/D111</f>
        <v>3.4465486689909383E-2</v>
      </c>
    </row>
    <row r="112" spans="1:11" hidden="1">
      <c r="A112" s="249"/>
      <c r="B112" s="41"/>
      <c r="C112" s="36"/>
      <c r="D112" s="30"/>
      <c r="E112" s="30"/>
      <c r="F112" s="41"/>
      <c r="G112" s="118"/>
      <c r="H112" s="41"/>
      <c r="I112" s="39"/>
      <c r="J112" s="36"/>
      <c r="K112" s="61"/>
    </row>
    <row r="113" spans="1:11" hidden="1">
      <c r="B113" s="50"/>
      <c r="C113" s="51"/>
      <c r="K113" s="52"/>
    </row>
    <row r="114" spans="1:11" hidden="1">
      <c r="A114" s="93" t="s">
        <v>186</v>
      </c>
      <c r="B114" s="247">
        <v>0</v>
      </c>
      <c r="C114" s="247">
        <v>0</v>
      </c>
      <c r="D114" s="247">
        <v>0</v>
      </c>
      <c r="E114" s="94"/>
      <c r="H114" s="92"/>
      <c r="I114" s="93"/>
      <c r="J114" s="247">
        <f>SUM(J103,J109)-J39-J74-SUM(J90:J91)</f>
        <v>0</v>
      </c>
    </row>
    <row r="115" spans="1:11" hidden="1">
      <c r="A115" s="93"/>
      <c r="B115" s="247">
        <v>0</v>
      </c>
      <c r="C115" s="247">
        <v>0</v>
      </c>
      <c r="D115" s="247">
        <v>0</v>
      </c>
      <c r="E115" s="94"/>
      <c r="H115" s="92"/>
      <c r="I115" s="93"/>
      <c r="J115" s="247">
        <f>J111-J82-J93-J94</f>
        <v>0</v>
      </c>
    </row>
    <row r="116" spans="1:11" hidden="1">
      <c r="B116" s="247">
        <v>0</v>
      </c>
      <c r="C116" s="247">
        <v>0</v>
      </c>
      <c r="D116" s="247">
        <v>0</v>
      </c>
      <c r="H116" s="93"/>
      <c r="I116" s="93"/>
      <c r="J116" s="247">
        <v>0</v>
      </c>
    </row>
    <row r="117" spans="1:11" hidden="1">
      <c r="B117" s="247">
        <v>0</v>
      </c>
      <c r="C117" s="247">
        <v>0</v>
      </c>
      <c r="D117" s="247">
        <v>0</v>
      </c>
      <c r="H117" s="20"/>
      <c r="I117" s="20"/>
      <c r="J117" s="247">
        <v>0</v>
      </c>
    </row>
    <row r="118" spans="1:11" hidden="1">
      <c r="B118" s="247"/>
      <c r="C118" s="247"/>
      <c r="D118" s="247">
        <v>-3.2014213502407074E-10</v>
      </c>
      <c r="H118" s="20"/>
      <c r="I118" s="20"/>
      <c r="J118" s="247">
        <v>0</v>
      </c>
    </row>
    <row r="119" spans="1:11">
      <c r="A119" s="103"/>
      <c r="B119" s="210"/>
      <c r="C119" s="211"/>
      <c r="D119" s="203"/>
    </row>
    <row r="120" spans="1:11">
      <c r="A120" s="4" t="s">
        <v>230</v>
      </c>
    </row>
    <row r="121" spans="1:11">
      <c r="A121" s="17" t="s">
        <v>789</v>
      </c>
    </row>
    <row r="122" spans="1:11">
      <c r="A122" s="17" t="s">
        <v>788</v>
      </c>
    </row>
    <row r="123" spans="1:11">
      <c r="A123" s="17" t="s">
        <v>790</v>
      </c>
    </row>
    <row r="124" spans="1:11">
      <c r="A124" s="17" t="s">
        <v>86</v>
      </c>
    </row>
    <row r="125" spans="1:11">
      <c r="A125" s="17" t="s">
        <v>56</v>
      </c>
    </row>
    <row r="126" spans="1:11">
      <c r="A126" s="2" t="s">
        <v>55</v>
      </c>
    </row>
  </sheetData>
  <phoneticPr fontId="0" type="noConversion"/>
  <printOptions horizontalCentered="1"/>
  <pageMargins left="0.75" right="0.75" top="1" bottom="1" header="0.5" footer="0.5"/>
  <pageSetup scale="92" fitToHeight="3" orientation="landscape" r:id="rId1"/>
  <headerFooter alignWithMargins="0">
    <oddFooter>&amp;L&amp;F</oddFooter>
  </headerFooter>
  <rowBreaks count="2" manualBreakCount="2">
    <brk id="41" max="10" man="1"/>
    <brk id="84" max="10"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N37"/>
  <sheetViews>
    <sheetView zoomScale="70" workbookViewId="0"/>
  </sheetViews>
  <sheetFormatPr baseColWidth="10" defaultColWidth="8.83203125" defaultRowHeight="13"/>
  <cols>
    <col min="1" max="1" width="27.5" bestFit="1" customWidth="1"/>
    <col min="2" max="2" width="11.5" customWidth="1"/>
    <col min="3" max="3" width="2.5" customWidth="1"/>
    <col min="4" max="4" width="10.5" customWidth="1"/>
    <col min="5" max="5" width="2.5" customWidth="1"/>
    <col min="6" max="6" width="11.5" customWidth="1"/>
    <col min="7" max="7" width="2.5" customWidth="1"/>
    <col min="8" max="8" width="11.5" customWidth="1"/>
    <col min="9" max="9" width="2.5" customWidth="1"/>
    <col min="10" max="11" width="11.5" customWidth="1"/>
  </cols>
  <sheetData>
    <row r="1" spans="1:11" ht="16">
      <c r="A1" s="117" t="s">
        <v>20</v>
      </c>
    </row>
    <row r="2" spans="1:11" ht="16">
      <c r="A2" s="117" t="s">
        <v>780</v>
      </c>
    </row>
    <row r="3" spans="1:11" ht="28">
      <c r="B3" s="125" t="s">
        <v>253</v>
      </c>
      <c r="C3" s="125"/>
      <c r="D3" s="135" t="s">
        <v>202</v>
      </c>
      <c r="E3" s="135"/>
      <c r="F3" s="107" t="s">
        <v>212</v>
      </c>
      <c r="G3" s="120"/>
      <c r="H3" s="119" t="s">
        <v>241</v>
      </c>
      <c r="I3" s="118"/>
      <c r="J3" s="32" t="s">
        <v>213</v>
      </c>
      <c r="K3" s="31" t="s">
        <v>128</v>
      </c>
    </row>
    <row r="5" spans="1:11">
      <c r="A5" s="17" t="s">
        <v>269</v>
      </c>
    </row>
    <row r="6" spans="1:11">
      <c r="A6" s="22" t="s">
        <v>214</v>
      </c>
      <c r="B6" s="6">
        <v>102452.06352935234</v>
      </c>
      <c r="C6" s="6"/>
      <c r="D6" s="19">
        <v>6.5860739181510738E-2</v>
      </c>
      <c r="E6" s="222" t="s">
        <v>231</v>
      </c>
      <c r="F6" s="81">
        <f>B6*D6</f>
        <v>6747.5686347142428</v>
      </c>
      <c r="H6" s="123">
        <v>1.2964363113082193</v>
      </c>
      <c r="J6" s="81">
        <f>H6*F6</f>
        <v>8747.7929910879702</v>
      </c>
      <c r="K6" s="19">
        <f>J6/B6</f>
        <v>8.538425376451049E-2</v>
      </c>
    </row>
    <row r="7" spans="1:11">
      <c r="A7" s="66" t="s">
        <v>376</v>
      </c>
      <c r="B7" s="6">
        <f>B6</f>
        <v>102452.06352935234</v>
      </c>
      <c r="C7" s="6"/>
      <c r="D7" s="19">
        <v>0.14695069509707515</v>
      </c>
      <c r="E7" s="222" t="s">
        <v>234</v>
      </c>
      <c r="F7" s="81">
        <f>B7*D7</f>
        <v>15055.401949768027</v>
      </c>
      <c r="H7" s="23">
        <v>1.7055951497654467</v>
      </c>
      <c r="J7" s="81">
        <f>H7*F7</f>
        <v>25678.420543293596</v>
      </c>
      <c r="K7" s="19">
        <f>J7/B7</f>
        <v>0.25063839281223238</v>
      </c>
    </row>
    <row r="8" spans="1:11">
      <c r="A8" s="66" t="s">
        <v>377</v>
      </c>
      <c r="B8" s="6">
        <f>B7</f>
        <v>102452.06352935234</v>
      </c>
      <c r="C8" s="6"/>
      <c r="D8" s="19">
        <v>2.2709626414031521E-2</v>
      </c>
      <c r="E8" s="222" t="s">
        <v>235</v>
      </c>
      <c r="F8" s="81">
        <f>B8*D8</f>
        <v>2326.6480880982153</v>
      </c>
      <c r="H8" s="23">
        <v>1.7055951497654467</v>
      </c>
      <c r="J8" s="81">
        <f>H8*F8</f>
        <v>3968.3196942713657</v>
      </c>
      <c r="K8" s="19">
        <f>J8/B8</f>
        <v>3.8733428664757437E-2</v>
      </c>
    </row>
    <row r="9" spans="1:11">
      <c r="A9" s="18" t="s">
        <v>97</v>
      </c>
      <c r="B9" s="6">
        <f>B8</f>
        <v>102452.06352935234</v>
      </c>
      <c r="C9" s="6"/>
      <c r="F9" s="81">
        <f>SUM(F6:F8)</f>
        <v>24129.618672580487</v>
      </c>
      <c r="J9" s="81">
        <f>SUM(J6:J8)</f>
        <v>38394.53322865293</v>
      </c>
      <c r="K9" s="19">
        <f>J9/B9</f>
        <v>0.37475607524150029</v>
      </c>
    </row>
    <row r="11" spans="1:11">
      <c r="A11" s="17" t="s">
        <v>273</v>
      </c>
    </row>
    <row r="12" spans="1:11">
      <c r="A12" s="22" t="s">
        <v>214</v>
      </c>
      <c r="B12" s="6">
        <v>88967.484407741038</v>
      </c>
      <c r="C12" s="6"/>
      <c r="D12" s="19">
        <v>6.5860739181510738E-2</v>
      </c>
      <c r="E12" s="222" t="s">
        <v>231</v>
      </c>
      <c r="F12" s="81">
        <f>B12*D12</f>
        <v>5859.464286213356</v>
      </c>
      <c r="H12" s="123">
        <v>1.2964363113082193</v>
      </c>
      <c r="J12" s="81">
        <f>H12*F12</f>
        <v>7596.422265460692</v>
      </c>
      <c r="K12" s="19">
        <f>J12/B12</f>
        <v>8.5384253764510504E-2</v>
      </c>
    </row>
    <row r="13" spans="1:11">
      <c r="A13" s="66" t="s">
        <v>376</v>
      </c>
      <c r="B13" s="6">
        <f>B12</f>
        <v>88967.484407741038</v>
      </c>
      <c r="C13" s="6"/>
      <c r="D13" s="19">
        <v>0.14695069509707515</v>
      </c>
      <c r="E13" s="222" t="s">
        <v>234</v>
      </c>
      <c r="F13" s="81">
        <f>B13*D13</f>
        <v>13073.833674755741</v>
      </c>
      <c r="H13" s="23">
        <v>1.7055951497654467</v>
      </c>
      <c r="J13" s="81">
        <f>H13*F13</f>
        <v>22298.667304503557</v>
      </c>
      <c r="K13" s="19">
        <f>J13/B13</f>
        <v>0.25063839281223238</v>
      </c>
    </row>
    <row r="14" spans="1:11">
      <c r="A14" s="66" t="s">
        <v>377</v>
      </c>
      <c r="B14" s="6">
        <f>B13</f>
        <v>88967.484407741038</v>
      </c>
      <c r="C14" s="6"/>
      <c r="D14" s="19">
        <v>2.2709626414031521E-2</v>
      </c>
      <c r="E14" s="222" t="s">
        <v>235</v>
      </c>
      <c r="F14" s="81">
        <f>B14*D14</f>
        <v>2020.4183338959733</v>
      </c>
      <c r="H14" s="23">
        <v>1.7055951497654467</v>
      </c>
      <c r="J14" s="81">
        <f>H14*F14</f>
        <v>3446.0157107901568</v>
      </c>
      <c r="K14" s="19">
        <f>J14/B14</f>
        <v>3.8733428664757437E-2</v>
      </c>
    </row>
    <row r="15" spans="1:11">
      <c r="A15" s="18" t="s">
        <v>97</v>
      </c>
      <c r="B15" s="6">
        <f>B14</f>
        <v>88967.484407741038</v>
      </c>
      <c r="C15" s="6"/>
      <c r="F15" s="81">
        <f>SUM(F12:F14)</f>
        <v>20953.716294865069</v>
      </c>
      <c r="J15" s="81">
        <f>SUM(J12:J14)</f>
        <v>33341.105280754404</v>
      </c>
      <c r="K15" s="19">
        <f>J15/B15</f>
        <v>0.37475607524150029</v>
      </c>
    </row>
    <row r="17" spans="1:14">
      <c r="A17" s="4" t="s">
        <v>274</v>
      </c>
      <c r="N17" s="11"/>
    </row>
    <row r="18" spans="1:14">
      <c r="A18" s="22" t="s">
        <v>214</v>
      </c>
      <c r="B18" s="6">
        <v>24508.293062906629</v>
      </c>
      <c r="C18" s="6"/>
      <c r="D18" s="19">
        <v>5.9761727523763915E-2</v>
      </c>
      <c r="E18" s="222" t="s">
        <v>231</v>
      </c>
      <c r="F18" s="81">
        <f>B18*D18</f>
        <v>1464.6579320979793</v>
      </c>
      <c r="H18" s="123">
        <v>1.2964363113082193</v>
      </c>
      <c r="J18" s="81">
        <f>H18*F18</f>
        <v>1898.8357268174286</v>
      </c>
      <c r="K18" s="19">
        <f>J18/B18</f>
        <v>7.7477273588315368E-2</v>
      </c>
    </row>
    <row r="19" spans="1:14">
      <c r="A19" s="66" t="s">
        <v>376</v>
      </c>
      <c r="B19" s="6">
        <f>B18</f>
        <v>24508.293062906629</v>
      </c>
      <c r="C19" s="6"/>
      <c r="D19" s="19">
        <v>7.6080754404886985E-2</v>
      </c>
      <c r="E19" s="222" t="s">
        <v>234</v>
      </c>
      <c r="F19" s="81">
        <f>B19*D19</f>
        <v>1864.6094254019947</v>
      </c>
      <c r="H19" s="23">
        <v>1.7055951497654467</v>
      </c>
      <c r="J19" s="81">
        <f>H19*F19</f>
        <v>3180.2687921725787</v>
      </c>
      <c r="K19" s="19">
        <f>J19/B19</f>
        <v>0.1297629657034714</v>
      </c>
      <c r="N19" s="12"/>
    </row>
    <row r="20" spans="1:14">
      <c r="A20" s="66" t="s">
        <v>377</v>
      </c>
      <c r="B20" s="6">
        <f>B19</f>
        <v>24508.293062906629</v>
      </c>
      <c r="C20" s="6"/>
      <c r="D20" s="19">
        <v>2.2709626414031524E-2</v>
      </c>
      <c r="E20" s="222" t="s">
        <v>235</v>
      </c>
      <c r="F20" s="81">
        <f>B20*D20</f>
        <v>556.57417950420995</v>
      </c>
      <c r="H20" s="23">
        <v>1.7055951497654467</v>
      </c>
      <c r="J20" s="81">
        <f>H20*F20</f>
        <v>949.2902210470636</v>
      </c>
      <c r="K20" s="19">
        <f>J20/B20</f>
        <v>3.8733428664757444E-2</v>
      </c>
    </row>
    <row r="21" spans="1:14">
      <c r="A21" s="18" t="s">
        <v>97</v>
      </c>
      <c r="B21" s="6">
        <f>B20</f>
        <v>24508.293062906629</v>
      </c>
      <c r="C21" s="6"/>
      <c r="F21" s="81">
        <f>SUM(F18:F20)</f>
        <v>3885.8415370041839</v>
      </c>
      <c r="J21" s="81">
        <f>SUM(J18:J20)</f>
        <v>6028.3947400370707</v>
      </c>
      <c r="K21" s="19">
        <f>J21/B21</f>
        <v>0.24597366795654421</v>
      </c>
    </row>
    <row r="23" spans="1:14">
      <c r="A23" s="4" t="s">
        <v>215</v>
      </c>
    </row>
    <row r="24" spans="1:14">
      <c r="A24" s="22" t="s">
        <v>214</v>
      </c>
      <c r="B24" s="6">
        <f>B6+B12+B18</f>
        <v>215927.84099999999</v>
      </c>
      <c r="C24" s="6"/>
      <c r="D24" s="19">
        <f>F24/B24</f>
        <v>6.5168487712640902E-2</v>
      </c>
      <c r="E24" s="19"/>
      <c r="F24" s="81">
        <f>F6+F12+F18</f>
        <v>14071.690853025579</v>
      </c>
      <c r="J24" s="81">
        <f>J6+J12+J18</f>
        <v>18243.050983366091</v>
      </c>
      <c r="K24" s="19">
        <f>J24/B24</f>
        <v>8.4486793823711187E-2</v>
      </c>
    </row>
    <row r="25" spans="1:14">
      <c r="A25" s="66" t="s">
        <v>376</v>
      </c>
      <c r="B25" s="6">
        <f>B7+B13+B19</f>
        <v>215927.84099999999</v>
      </c>
      <c r="C25" s="6"/>
      <c r="D25" s="19">
        <f>F25/B25</f>
        <v>0.13890679826658278</v>
      </c>
      <c r="E25" s="19"/>
      <c r="F25" s="81">
        <f>F7+F13+F19</f>
        <v>29993.845049925763</v>
      </c>
      <c r="J25" s="81">
        <f>J7+J13+J19</f>
        <v>51157.356639969737</v>
      </c>
      <c r="K25" s="19">
        <f>J25/B25</f>
        <v>0.236918761392931</v>
      </c>
    </row>
    <row r="26" spans="1:14">
      <c r="A26" s="66" t="s">
        <v>377</v>
      </c>
      <c r="B26" s="6">
        <f>B8+B14+B20</f>
        <v>215927.84099999999</v>
      </c>
      <c r="C26" s="6"/>
      <c r="D26" s="19">
        <f>F26/B26</f>
        <v>2.2709626414031524E-2</v>
      </c>
      <c r="E26" s="19"/>
      <c r="F26" s="81">
        <f>F8+F14+F20</f>
        <v>4903.6406014983986</v>
      </c>
      <c r="J26" s="81">
        <f>J8+J14+J20</f>
        <v>8363.6256261085855</v>
      </c>
      <c r="K26" s="19">
        <f>J26/B26</f>
        <v>3.8733428664757437E-2</v>
      </c>
    </row>
    <row r="27" spans="1:14">
      <c r="A27" s="18" t="s">
        <v>97</v>
      </c>
      <c r="B27" s="6">
        <f>B9+B15+B21</f>
        <v>215927.84099999999</v>
      </c>
      <c r="C27" s="6"/>
      <c r="D27" s="19">
        <f>F27/B27</f>
        <v>0.22678491239325521</v>
      </c>
      <c r="E27" s="19"/>
      <c r="F27" s="81">
        <f>F9+F15+F21</f>
        <v>48969.176504449737</v>
      </c>
      <c r="J27" s="81">
        <f>J9+J15+J21</f>
        <v>77764.033249444401</v>
      </c>
      <c r="K27" s="19">
        <f>J27/B27</f>
        <v>0.36013898388139953</v>
      </c>
    </row>
    <row r="28" spans="1:14" hidden="1">
      <c r="A28" s="18"/>
      <c r="B28" s="6"/>
      <c r="C28" s="6"/>
      <c r="D28" s="19"/>
      <c r="E28" s="19"/>
      <c r="F28" s="81"/>
      <c r="J28" s="81"/>
      <c r="K28" s="19"/>
    </row>
    <row r="29" spans="1:14" hidden="1">
      <c r="A29" s="18" t="s">
        <v>186</v>
      </c>
      <c r="B29" s="98">
        <v>0</v>
      </c>
      <c r="C29" s="6"/>
      <c r="D29" s="19"/>
      <c r="E29" s="19"/>
      <c r="F29" s="81"/>
      <c r="J29" s="98">
        <v>0</v>
      </c>
      <c r="K29" s="19"/>
    </row>
    <row r="30" spans="1:14" hidden="1">
      <c r="A30" s="18"/>
      <c r="B30" s="98">
        <v>0</v>
      </c>
      <c r="C30" s="6"/>
      <c r="D30" s="19"/>
      <c r="E30" s="19"/>
      <c r="F30" s="81"/>
      <c r="J30" s="98">
        <v>0</v>
      </c>
      <c r="K30" s="19"/>
    </row>
    <row r="31" spans="1:14" hidden="1">
      <c r="A31" s="18"/>
      <c r="B31" s="98">
        <v>0</v>
      </c>
      <c r="C31" s="6"/>
      <c r="D31" s="19"/>
      <c r="E31" s="19"/>
      <c r="F31" s="81"/>
      <c r="J31" s="98">
        <v>0</v>
      </c>
      <c r="K31" s="19"/>
    </row>
    <row r="32" spans="1:14">
      <c r="A32" s="204"/>
      <c r="B32" s="204"/>
      <c r="C32" s="204"/>
      <c r="D32" s="204"/>
      <c r="E32" s="204"/>
      <c r="F32" s="204"/>
    </row>
    <row r="33" spans="1:11">
      <c r="A33" s="4" t="s">
        <v>230</v>
      </c>
      <c r="K33" s="19"/>
    </row>
    <row r="34" spans="1:11">
      <c r="A34" s="17" t="s">
        <v>789</v>
      </c>
    </row>
    <row r="35" spans="1:11">
      <c r="A35" s="17" t="s">
        <v>788</v>
      </c>
    </row>
    <row r="36" spans="1:11">
      <c r="A36" s="11" t="s">
        <v>791</v>
      </c>
    </row>
    <row r="37" spans="1:11">
      <c r="A37" s="11" t="s">
        <v>792</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6">
    <pageSetUpPr fitToPage="1"/>
  </sheetPr>
  <dimension ref="A1:K93"/>
  <sheetViews>
    <sheetView zoomScale="70" workbookViewId="0"/>
  </sheetViews>
  <sheetFormatPr baseColWidth="10" defaultColWidth="9.1640625" defaultRowHeight="13"/>
  <cols>
    <col min="1" max="1" width="25.83203125" style="4" customWidth="1"/>
    <col min="2" max="5" width="12.5" style="4" customWidth="1"/>
    <col min="6" max="6" width="2.5" style="4" customWidth="1"/>
    <col min="7" max="7" width="12.5" style="4" customWidth="1"/>
    <col min="8" max="8" width="2.5" style="4" customWidth="1"/>
    <col min="9" max="10" width="12.5" style="4" customWidth="1"/>
    <col min="11" max="16384" width="9.1640625" style="4"/>
  </cols>
  <sheetData>
    <row r="1" spans="1:10" ht="16">
      <c r="A1" s="117" t="s">
        <v>551</v>
      </c>
    </row>
    <row r="2" spans="1:10" ht="16">
      <c r="A2" s="117" t="s">
        <v>780</v>
      </c>
      <c r="B2" s="1"/>
      <c r="C2" s="1"/>
      <c r="D2" s="1"/>
      <c r="E2" s="1"/>
      <c r="F2" s="1"/>
      <c r="G2" s="1"/>
    </row>
    <row r="3" spans="1:10" ht="28">
      <c r="B3" s="138" t="s">
        <v>243</v>
      </c>
      <c r="C3" s="138" t="s">
        <v>244</v>
      </c>
      <c r="D3" s="125" t="s">
        <v>245</v>
      </c>
      <c r="E3" s="126" t="s">
        <v>202</v>
      </c>
      <c r="F3" s="20"/>
      <c r="G3" s="119" t="s">
        <v>241</v>
      </c>
      <c r="H3" s="118"/>
      <c r="I3" s="119" t="s">
        <v>213</v>
      </c>
      <c r="J3" s="31" t="s">
        <v>128</v>
      </c>
    </row>
    <row r="4" spans="1:10">
      <c r="B4" s="20"/>
      <c r="C4" s="20"/>
      <c r="D4" s="20"/>
      <c r="E4" s="20"/>
      <c r="F4" s="20"/>
      <c r="G4" s="20"/>
      <c r="H4" s="20"/>
      <c r="I4" s="36"/>
      <c r="J4" s="20"/>
    </row>
    <row r="5" spans="1:10">
      <c r="A5" s="16" t="s">
        <v>432</v>
      </c>
    </row>
    <row r="6" spans="1:10">
      <c r="A6" s="59" t="s">
        <v>476</v>
      </c>
      <c r="B6" s="34">
        <v>5.74424512183964</v>
      </c>
      <c r="C6" s="36">
        <v>318.24656381830397</v>
      </c>
      <c r="D6" s="24">
        <v>61021.399433651393</v>
      </c>
      <c r="E6" s="61">
        <f t="shared" ref="E6:E12" si="0">IF(ISERROR(C6/D6),"n/a",C6/D6)</f>
        <v>5.2153271929519362E-3</v>
      </c>
      <c r="G6" s="39">
        <v>1.4559921991063358</v>
      </c>
      <c r="I6" s="32">
        <f t="shared" ref="I6:I11" si="1">C6*G6</f>
        <v>463.36451431184724</v>
      </c>
      <c r="J6" s="63">
        <f t="shared" ref="J6:J12" si="2">IF(ISERROR(I6/D6),"n/a",I6/D6)</f>
        <v>7.5934757087251625E-3</v>
      </c>
    </row>
    <row r="7" spans="1:10">
      <c r="A7" s="59" t="s">
        <v>477</v>
      </c>
      <c r="B7" s="34">
        <v>3.0710685681364809</v>
      </c>
      <c r="C7" s="36">
        <v>170.1454235203019</v>
      </c>
      <c r="D7" s="24">
        <v>32624.112970369104</v>
      </c>
      <c r="E7" s="61">
        <f t="shared" si="0"/>
        <v>5.2153271929519344E-3</v>
      </c>
      <c r="G7" s="39">
        <v>1.4559921991063358</v>
      </c>
      <c r="I7" s="32">
        <f t="shared" si="1"/>
        <v>247.73040935920324</v>
      </c>
      <c r="J7" s="63">
        <f t="shared" si="2"/>
        <v>7.5934757087251607E-3</v>
      </c>
    </row>
    <row r="8" spans="1:10">
      <c r="A8" s="59" t="s">
        <v>478</v>
      </c>
      <c r="B8" s="34">
        <v>1.8715988763435967</v>
      </c>
      <c r="C8" s="36">
        <v>103.69159021051547</v>
      </c>
      <c r="D8" s="24">
        <v>19882.087235225761</v>
      </c>
      <c r="E8" s="61">
        <f t="shared" si="0"/>
        <v>5.2153271929519353E-3</v>
      </c>
      <c r="G8" s="39">
        <v>1.4559921991063358</v>
      </c>
      <c r="I8" s="32">
        <f t="shared" si="1"/>
        <v>150.97414645944141</v>
      </c>
      <c r="J8" s="63">
        <f t="shared" si="2"/>
        <v>7.5934757087251607E-3</v>
      </c>
    </row>
    <row r="9" spans="1:10">
      <c r="A9" s="59" t="s">
        <v>479</v>
      </c>
      <c r="B9" s="34">
        <v>86.924639521743899</v>
      </c>
      <c r="C9" s="36">
        <v>4815.8578285183421</v>
      </c>
      <c r="D9" s="24">
        <v>770334.75550220942</v>
      </c>
      <c r="E9" s="61">
        <f t="shared" si="0"/>
        <v>6.2516429307135548E-3</v>
      </c>
      <c r="G9" s="39">
        <v>1.4559921991063358</v>
      </c>
      <c r="I9" s="32">
        <f t="shared" si="1"/>
        <v>7011.8514303278844</v>
      </c>
      <c r="J9" s="63">
        <f t="shared" si="2"/>
        <v>9.1023433387172076E-3</v>
      </c>
    </row>
    <row r="10" spans="1:10">
      <c r="A10" s="59" t="s">
        <v>433</v>
      </c>
      <c r="B10" s="34">
        <v>12.339877418503571</v>
      </c>
      <c r="C10" s="36">
        <v>683.66225728197196</v>
      </c>
      <c r="D10" s="24">
        <v>131087.12684525002</v>
      </c>
      <c r="E10" s="61">
        <f t="shared" si="0"/>
        <v>5.2153271929519344E-3</v>
      </c>
      <c r="G10" s="39">
        <v>1.4559921991063358</v>
      </c>
      <c r="I10" s="32">
        <f t="shared" si="1"/>
        <v>995.40691342597995</v>
      </c>
      <c r="J10" s="63">
        <f t="shared" si="2"/>
        <v>7.5934757087251607E-3</v>
      </c>
    </row>
    <row r="11" spans="1:10">
      <c r="A11" s="59" t="s">
        <v>434</v>
      </c>
      <c r="B11" s="34">
        <v>39.168876437440424</v>
      </c>
      <c r="C11" s="36">
        <v>2170.0606555673962</v>
      </c>
      <c r="D11" s="24">
        <v>416092.9075552625</v>
      </c>
      <c r="E11" s="61">
        <f t="shared" si="0"/>
        <v>5.2153271929519353E-3</v>
      </c>
      <c r="G11" s="39">
        <v>1.4559921991063358</v>
      </c>
      <c r="I11" s="32">
        <f t="shared" si="1"/>
        <v>3159.5913860937098</v>
      </c>
      <c r="J11" s="63">
        <f t="shared" si="2"/>
        <v>7.5934757087251607E-3</v>
      </c>
    </row>
    <row r="12" spans="1:10">
      <c r="A12" s="59" t="s">
        <v>437</v>
      </c>
      <c r="B12" s="34">
        <f>SUM(B6:B11)</f>
        <v>149.12030594400761</v>
      </c>
      <c r="C12" s="36">
        <f>SUM(C6:C11)</f>
        <v>8261.6643189168317</v>
      </c>
      <c r="D12" s="24">
        <f>SUM(D6:D11)</f>
        <v>1431042.3895419682</v>
      </c>
      <c r="E12" s="61">
        <f t="shared" si="0"/>
        <v>5.7731793127114364E-3</v>
      </c>
      <c r="I12" s="29">
        <f>SUM(I6:I11)</f>
        <v>12028.918799978066</v>
      </c>
      <c r="J12" s="63">
        <f t="shared" si="2"/>
        <v>8.4057040433499295E-3</v>
      </c>
    </row>
    <row r="13" spans="1:10">
      <c r="B13" s="34"/>
      <c r="C13" s="36"/>
      <c r="D13" s="24"/>
    </row>
    <row r="14" spans="1:10">
      <c r="A14" s="16" t="s">
        <v>435</v>
      </c>
      <c r="B14" s="34"/>
      <c r="C14" s="36"/>
      <c r="D14" s="24"/>
    </row>
    <row r="15" spans="1:10">
      <c r="A15" s="59" t="s">
        <v>271</v>
      </c>
      <c r="B15" s="34">
        <v>42.887925926776241</v>
      </c>
      <c r="C15" s="36">
        <v>2376.1059575255917</v>
      </c>
      <c r="D15" s="24">
        <v>30061.621984904348</v>
      </c>
      <c r="E15" s="61">
        <f t="shared" ref="E15:E21" si="3">IF(ISERROR(C15/D15),"n/a",C15/D15)</f>
        <v>7.9041176112146241E-2</v>
      </c>
      <c r="G15" s="39">
        <v>1.4559921991063358</v>
      </c>
      <c r="I15" s="32">
        <f t="shared" ref="I15:I20" si="4">C15*G15</f>
        <v>3459.5917384073523</v>
      </c>
      <c r="J15" s="63">
        <f t="shared" ref="J15:J21" si="5">IF(ISERROR(I15/D15),"n/a",I15/D15)</f>
        <v>0.11508333582747499</v>
      </c>
    </row>
    <row r="16" spans="1:10">
      <c r="A16" s="59" t="s">
        <v>275</v>
      </c>
      <c r="B16" s="34">
        <v>23.879163337531562</v>
      </c>
      <c r="C16" s="36">
        <v>1322.9696013723824</v>
      </c>
      <c r="D16" s="24">
        <v>12810.438159433255</v>
      </c>
      <c r="E16" s="61">
        <f t="shared" si="3"/>
        <v>0.10327278309354188</v>
      </c>
      <c r="G16" s="39">
        <v>1.4559921991063358</v>
      </c>
      <c r="I16" s="32">
        <f t="shared" si="4"/>
        <v>1926.2334192530075</v>
      </c>
      <c r="J16" s="63">
        <f t="shared" si="5"/>
        <v>0.15036436656419766</v>
      </c>
    </row>
    <row r="17" spans="1:10" ht="14">
      <c r="A17" s="59" t="s">
        <v>433</v>
      </c>
      <c r="B17" s="34">
        <v>0</v>
      </c>
      <c r="C17" s="36">
        <v>0</v>
      </c>
      <c r="D17" s="24">
        <v>0</v>
      </c>
      <c r="E17" s="61" t="str">
        <f t="shared" si="3"/>
        <v>n/a</v>
      </c>
      <c r="G17" s="39">
        <v>1.4559921991063358</v>
      </c>
      <c r="I17" s="32">
        <f t="shared" si="4"/>
        <v>0</v>
      </c>
      <c r="J17" s="63" t="str">
        <f t="shared" si="5"/>
        <v>n/a</v>
      </c>
    </row>
    <row r="18" spans="1:10" ht="14">
      <c r="A18" s="59" t="s">
        <v>434</v>
      </c>
      <c r="B18" s="34">
        <v>0</v>
      </c>
      <c r="C18" s="36">
        <v>0</v>
      </c>
      <c r="D18" s="24">
        <v>0</v>
      </c>
      <c r="E18" s="61" t="str">
        <f t="shared" si="3"/>
        <v>n/a</v>
      </c>
      <c r="G18" s="39">
        <v>1.4559921991063358</v>
      </c>
      <c r="I18" s="32">
        <f t="shared" si="4"/>
        <v>0</v>
      </c>
      <c r="J18" s="63" t="str">
        <f t="shared" si="5"/>
        <v>n/a</v>
      </c>
    </row>
    <row r="19" spans="1:10">
      <c r="A19" s="59" t="s">
        <v>436</v>
      </c>
      <c r="B19" s="34">
        <v>0.15465406955209179</v>
      </c>
      <c r="C19" s="36">
        <v>8.5682496431676807</v>
      </c>
      <c r="D19" s="24">
        <v>247.97552100565412</v>
      </c>
      <c r="E19" s="61">
        <f t="shared" si="3"/>
        <v>3.4552804278501E-2</v>
      </c>
      <c r="G19" s="39">
        <v>1.4559921991063358</v>
      </c>
      <c r="I19" s="32">
        <f t="shared" si="4"/>
        <v>12.475304640447789</v>
      </c>
      <c r="J19" s="63">
        <f t="shared" si="5"/>
        <v>5.0308613486745486E-2</v>
      </c>
    </row>
    <row r="20" spans="1:10">
      <c r="A20" s="59" t="s">
        <v>225</v>
      </c>
      <c r="B20" s="34">
        <v>286.70917547649685</v>
      </c>
      <c r="C20" s="36">
        <v>14699.407401174707</v>
      </c>
      <c r="D20" s="24">
        <v>1134016.8901047918</v>
      </c>
      <c r="E20" s="61">
        <f t="shared" si="3"/>
        <v>1.296224732580162E-2</v>
      </c>
      <c r="G20" s="39">
        <v>1.4559921991063358</v>
      </c>
      <c r="I20" s="32">
        <f t="shared" si="4"/>
        <v>21402.222507596311</v>
      </c>
      <c r="J20" s="63">
        <f t="shared" si="5"/>
        <v>1.8872930989254119E-2</v>
      </c>
    </row>
    <row r="21" spans="1:10">
      <c r="A21" s="59" t="s">
        <v>438</v>
      </c>
      <c r="B21" s="34">
        <f>SUM(B15:B20)</f>
        <v>353.63091881035677</v>
      </c>
      <c r="C21" s="36">
        <f>SUM(C15:C20)</f>
        <v>18407.05120971585</v>
      </c>
      <c r="D21" s="24">
        <f>SUM(D15:D20)</f>
        <v>1177136.9257701351</v>
      </c>
      <c r="E21" s="61">
        <f t="shared" si="3"/>
        <v>1.5637136858716025E-2</v>
      </c>
      <c r="I21" s="29">
        <f>SUM(I15:I20)</f>
        <v>26800.522969897116</v>
      </c>
      <c r="J21" s="63">
        <f t="shared" si="5"/>
        <v>2.2767549282648684E-2</v>
      </c>
    </row>
    <row r="22" spans="1:10">
      <c r="B22" s="34"/>
      <c r="C22" s="36"/>
      <c r="D22" s="24"/>
    </row>
    <row r="23" spans="1:10">
      <c r="A23" s="14" t="s">
        <v>439</v>
      </c>
      <c r="B23" s="34"/>
      <c r="C23" s="36"/>
      <c r="D23" s="24"/>
    </row>
    <row r="24" spans="1:10">
      <c r="A24" s="59" t="s">
        <v>271</v>
      </c>
      <c r="B24" s="34">
        <v>11.026833388912102</v>
      </c>
      <c r="C24" s="36">
        <v>767.56952045400669</v>
      </c>
      <c r="D24" s="24">
        <v>2079.1305948833556</v>
      </c>
      <c r="E24" s="61">
        <f t="shared" ref="E24:E30" si="6">IF(ISERROR(C24/D24),"n/a",C24/D24)</f>
        <v>0.36917811817254764</v>
      </c>
      <c r="G24" s="39">
        <v>1.4559921991063358</v>
      </c>
      <c r="I24" s="32">
        <f t="shared" ref="I24:I29" si="7">C24*G24</f>
        <v>1117.5752340528247</v>
      </c>
      <c r="J24" s="63">
        <f t="shared" ref="J24:J30" si="8">IF(ISERROR(I24/D24),"n/a",I24/D24)</f>
        <v>0.53752046013998633</v>
      </c>
    </row>
    <row r="25" spans="1:10">
      <c r="A25" s="59" t="s">
        <v>275</v>
      </c>
      <c r="B25" s="34">
        <v>121.66585703937633</v>
      </c>
      <c r="C25" s="36">
        <v>9831.1340243502927</v>
      </c>
      <c r="D25" s="24">
        <v>23328.620828569932</v>
      </c>
      <c r="E25" s="61">
        <f t="shared" si="6"/>
        <v>0.42141942708890739</v>
      </c>
      <c r="G25" s="39">
        <v>1.4559921991063358</v>
      </c>
      <c r="I25" s="32">
        <f t="shared" si="7"/>
        <v>14314.054447822904</v>
      </c>
      <c r="J25" s="63">
        <f t="shared" si="8"/>
        <v>0.61358339839331044</v>
      </c>
    </row>
    <row r="26" spans="1:10">
      <c r="A26" s="59" t="s">
        <v>433</v>
      </c>
      <c r="B26" s="34">
        <v>56.411169802592177</v>
      </c>
      <c r="C26" s="36">
        <v>3960.9873773544227</v>
      </c>
      <c r="D26" s="24">
        <v>11075.134430338498</v>
      </c>
      <c r="E26" s="61">
        <f t="shared" si="6"/>
        <v>0.357646889278739</v>
      </c>
      <c r="G26" s="39">
        <v>1.4559921991063358</v>
      </c>
      <c r="I26" s="32">
        <f t="shared" si="7"/>
        <v>5767.1667221867037</v>
      </c>
      <c r="J26" s="63">
        <f t="shared" si="8"/>
        <v>0.52073108082449138</v>
      </c>
    </row>
    <row r="27" spans="1:10">
      <c r="A27" s="59" t="s">
        <v>434</v>
      </c>
      <c r="B27" s="34">
        <v>43.357249967835614</v>
      </c>
      <c r="C27" s="36">
        <v>4694.3344831706072</v>
      </c>
      <c r="D27" s="24">
        <v>17859.36648327074</v>
      </c>
      <c r="E27" s="61">
        <f t="shared" si="6"/>
        <v>0.26285000017038079</v>
      </c>
      <c r="G27" s="39">
        <v>1.4559921991063358</v>
      </c>
      <c r="I27" s="32">
        <f t="shared" si="7"/>
        <v>6834.9143874922765</v>
      </c>
      <c r="J27" s="63">
        <f t="shared" si="8"/>
        <v>0.38270754978317345</v>
      </c>
    </row>
    <row r="28" spans="1:10">
      <c r="A28" s="59" t="s">
        <v>436</v>
      </c>
      <c r="B28" s="34">
        <v>0.5478860484894098</v>
      </c>
      <c r="C28" s="36">
        <v>56.519220944903594</v>
      </c>
      <c r="D28" s="24">
        <v>390.44078961912066</v>
      </c>
      <c r="E28" s="61">
        <f t="shared" si="6"/>
        <v>0.14475747014045004</v>
      </c>
      <c r="G28" s="39">
        <v>1.4559921991063358</v>
      </c>
      <c r="I28" s="32">
        <f t="shared" si="7"/>
        <v>82.291544795347065</v>
      </c>
      <c r="J28" s="63">
        <f t="shared" si="8"/>
        <v>0.21076574728686359</v>
      </c>
    </row>
    <row r="29" spans="1:10">
      <c r="A29" s="59" t="s">
        <v>225</v>
      </c>
      <c r="B29" s="34">
        <v>105.06618058986901</v>
      </c>
      <c r="C29" s="36">
        <v>5386.6800391342304</v>
      </c>
      <c r="D29" s="24">
        <v>234961.65860339542</v>
      </c>
      <c r="E29" s="61">
        <f t="shared" si="6"/>
        <v>2.2925783173103578E-2</v>
      </c>
      <c r="G29" s="39">
        <v>1.4559921991063358</v>
      </c>
      <c r="I29" s="32">
        <f t="shared" si="7"/>
        <v>7842.9641160612509</v>
      </c>
      <c r="J29" s="63">
        <f t="shared" si="8"/>
        <v>3.3379761458442105E-2</v>
      </c>
    </row>
    <row r="30" spans="1:10">
      <c r="A30" s="60" t="s">
        <v>440</v>
      </c>
      <c r="B30" s="34">
        <f>SUM(B24:B29)</f>
        <v>338.07517683707465</v>
      </c>
      <c r="C30" s="36">
        <f>SUM(C24:C29)</f>
        <v>24697.224665408463</v>
      </c>
      <c r="D30" s="24">
        <f>SUM(D24:D29)</f>
        <v>289694.35173007706</v>
      </c>
      <c r="E30" s="61">
        <f t="shared" si="6"/>
        <v>8.5252696567657354E-2</v>
      </c>
      <c r="I30" s="29">
        <f>SUM(I24:I29)</f>
        <v>35958.966452411303</v>
      </c>
      <c r="J30" s="63">
        <f t="shared" si="8"/>
        <v>0.12412726115528859</v>
      </c>
    </row>
    <row r="31" spans="1:10">
      <c r="B31" s="34"/>
      <c r="C31" s="36"/>
      <c r="D31" s="24"/>
    </row>
    <row r="32" spans="1:10">
      <c r="A32" s="16" t="s">
        <v>428</v>
      </c>
      <c r="B32" s="34"/>
      <c r="C32" s="36"/>
      <c r="D32" s="24"/>
    </row>
    <row r="33" spans="1:11">
      <c r="A33" s="59" t="s">
        <v>275</v>
      </c>
      <c r="B33" s="34">
        <v>21.837676221267522</v>
      </c>
      <c r="C33" s="36">
        <v>1209.8657476805856</v>
      </c>
      <c r="D33" s="24">
        <v>11809.068657932901</v>
      </c>
      <c r="E33" s="61">
        <f t="shared" ref="E33:E38" si="9">IF(ISERROR(C33/D33),"n/a",C33/D33)</f>
        <v>0.10245225789824179</v>
      </c>
      <c r="G33" s="39">
        <v>1.4559921991063358</v>
      </c>
      <c r="I33" s="32">
        <f>C33*G33</f>
        <v>1761.555090588887</v>
      </c>
      <c r="J33" s="63">
        <f t="shared" ref="J33:J40" si="10">IF(ISERROR(I33/D33),"n/a",I33/D33)</f>
        <v>0.14916968828067051</v>
      </c>
      <c r="K33" s="17"/>
    </row>
    <row r="34" spans="1:11" ht="14">
      <c r="A34" s="59" t="s">
        <v>433</v>
      </c>
      <c r="B34" s="34">
        <v>0</v>
      </c>
      <c r="C34" s="36">
        <v>0</v>
      </c>
      <c r="D34" s="24">
        <v>0</v>
      </c>
      <c r="E34" s="61" t="str">
        <f t="shared" si="9"/>
        <v>n/a</v>
      </c>
      <c r="G34" s="39">
        <v>1.4559921991063358</v>
      </c>
      <c r="I34" s="32">
        <f>C34*G34</f>
        <v>0</v>
      </c>
      <c r="J34" s="63" t="str">
        <f t="shared" si="10"/>
        <v>n/a</v>
      </c>
    </row>
    <row r="35" spans="1:11" ht="14">
      <c r="A35" s="59" t="s">
        <v>434</v>
      </c>
      <c r="B35" s="34">
        <v>0</v>
      </c>
      <c r="C35" s="36">
        <v>0</v>
      </c>
      <c r="D35" s="24">
        <v>0</v>
      </c>
      <c r="E35" s="61" t="str">
        <f t="shared" si="9"/>
        <v>n/a</v>
      </c>
      <c r="G35" s="39">
        <v>1.4559921991063358</v>
      </c>
      <c r="I35" s="32">
        <f>C35*G35</f>
        <v>0</v>
      </c>
      <c r="J35" s="63" t="str">
        <f t="shared" si="10"/>
        <v>n/a</v>
      </c>
    </row>
    <row r="36" spans="1:11" ht="14">
      <c r="A36" s="59" t="s">
        <v>436</v>
      </c>
      <c r="B36" s="34">
        <v>0</v>
      </c>
      <c r="C36" s="36">
        <v>0</v>
      </c>
      <c r="D36" s="24">
        <v>0</v>
      </c>
      <c r="E36" s="61" t="str">
        <f t="shared" si="9"/>
        <v>n/a</v>
      </c>
      <c r="G36" s="39">
        <v>1.4559921991063358</v>
      </c>
      <c r="I36" s="32">
        <f>C36*G36</f>
        <v>0</v>
      </c>
      <c r="J36" s="63" t="str">
        <f t="shared" si="10"/>
        <v>n/a</v>
      </c>
    </row>
    <row r="37" spans="1:11">
      <c r="A37" s="59" t="s">
        <v>225</v>
      </c>
      <c r="B37" s="34">
        <v>1.0547058922029011</v>
      </c>
      <c r="C37" s="36">
        <v>54.074138269707412</v>
      </c>
      <c r="D37" s="24">
        <v>4171.6638257682162</v>
      </c>
      <c r="E37" s="61">
        <f t="shared" si="9"/>
        <v>1.296224732580162E-2</v>
      </c>
      <c r="G37" s="39">
        <v>1.4559921991063358</v>
      </c>
      <c r="I37" s="32">
        <f>C37*G37</f>
        <v>78.731523494091363</v>
      </c>
      <c r="J37" s="63">
        <f t="shared" si="10"/>
        <v>1.8872930989254119E-2</v>
      </c>
    </row>
    <row r="38" spans="1:11">
      <c r="A38" s="60" t="s">
        <v>441</v>
      </c>
      <c r="B38" s="34">
        <f>SUM(B33:B37)</f>
        <v>22.892382113470422</v>
      </c>
      <c r="C38" s="36">
        <f>SUM(C33:C37)</f>
        <v>1263.939885950293</v>
      </c>
      <c r="D38" s="24">
        <f>SUM(D33:D37)</f>
        <v>15980.732483701118</v>
      </c>
      <c r="E38" s="61">
        <f t="shared" si="9"/>
        <v>7.9091486403354533E-2</v>
      </c>
      <c r="I38" s="29">
        <f>SUM(I33:I37)</f>
        <v>1840.2866140829783</v>
      </c>
      <c r="J38" s="63">
        <f t="shared" si="10"/>
        <v>0.11515658721900901</v>
      </c>
    </row>
    <row r="39" spans="1:11">
      <c r="B39" s="34"/>
      <c r="C39" s="36"/>
    </row>
    <row r="40" spans="1:11">
      <c r="A40" s="16" t="s">
        <v>414</v>
      </c>
      <c r="B40" s="34">
        <f>SUM(B12,B21,B30,B38)</f>
        <v>863.71878370490936</v>
      </c>
      <c r="C40" s="36">
        <f>SUM(C12,C21,C30,C38)</f>
        <v>52629.880079991439</v>
      </c>
      <c r="D40" s="24">
        <f>SUM(D12,D21,D30,D38)</f>
        <v>2913854.3995258817</v>
      </c>
      <c r="E40" s="61">
        <f>IF(ISERROR(C40/D40),"n/a",C40/D40)</f>
        <v>1.8061945747376719E-2</v>
      </c>
      <c r="I40" s="36">
        <f>SUM(I12,I21,I30,I38)</f>
        <v>76628.694836369454</v>
      </c>
      <c r="J40" s="63">
        <f t="shared" si="10"/>
        <v>2.6298052108862352E-2</v>
      </c>
    </row>
    <row r="41" spans="1:11" hidden="1"/>
    <row r="42" spans="1:11" hidden="1">
      <c r="D42" s="24"/>
    </row>
    <row r="43" spans="1:11" hidden="1">
      <c r="A43" s="20" t="s">
        <v>186</v>
      </c>
      <c r="B43" s="102">
        <v>0</v>
      </c>
      <c r="C43" s="102">
        <v>0</v>
      </c>
      <c r="D43" s="102">
        <v>0</v>
      </c>
      <c r="I43" s="102">
        <f>I40/C40-G37</f>
        <v>0</v>
      </c>
      <c r="J43" s="102">
        <f>J40/E40-G37</f>
        <v>0</v>
      </c>
    </row>
    <row r="44" spans="1:11" hidden="1">
      <c r="B44" s="102">
        <v>0</v>
      </c>
      <c r="C44" s="102">
        <v>0</v>
      </c>
      <c r="D44" s="102">
        <v>0</v>
      </c>
    </row>
    <row r="45" spans="1:11" hidden="1">
      <c r="B45" s="102">
        <v>0</v>
      </c>
      <c r="C45" s="102">
        <v>0</v>
      </c>
      <c r="D45" s="102">
        <v>0</v>
      </c>
    </row>
    <row r="46" spans="1:11" hidden="1">
      <c r="B46" s="102">
        <v>0</v>
      </c>
      <c r="C46" s="102">
        <v>0</v>
      </c>
      <c r="D46" s="102">
        <v>0</v>
      </c>
    </row>
    <row r="47" spans="1:11" hidden="1">
      <c r="B47" s="102">
        <v>0</v>
      </c>
      <c r="C47" s="102">
        <v>0</v>
      </c>
      <c r="D47" s="102">
        <v>0</v>
      </c>
    </row>
    <row r="48" spans="1:11" hidden="1">
      <c r="C48" s="102">
        <v>-2.0463630789890885E-12</v>
      </c>
      <c r="D48" s="102">
        <v>6.6393113229423761E-10</v>
      </c>
    </row>
    <row r="49" spans="1:5">
      <c r="A49" s="103"/>
      <c r="B49" s="103"/>
      <c r="C49" s="103"/>
      <c r="D49" s="103"/>
    </row>
    <row r="50" spans="1:5">
      <c r="A50" s="4" t="s">
        <v>230</v>
      </c>
    </row>
    <row r="51" spans="1:5">
      <c r="A51" s="17" t="s">
        <v>793</v>
      </c>
      <c r="E51" s="334"/>
    </row>
    <row r="52" spans="1:5">
      <c r="A52" s="17" t="s">
        <v>788</v>
      </c>
    </row>
    <row r="53" spans="1:5">
      <c r="D53" s="24"/>
    </row>
    <row r="54" spans="1:5">
      <c r="D54" s="24"/>
    </row>
    <row r="55" spans="1:5">
      <c r="D55" s="24"/>
    </row>
    <row r="56" spans="1:5">
      <c r="D56" s="24"/>
    </row>
    <row r="57" spans="1:5">
      <c r="D57" s="24"/>
    </row>
    <row r="58" spans="1:5">
      <c r="D58" s="24"/>
    </row>
    <row r="59" spans="1:5">
      <c r="D59" s="24"/>
    </row>
    <row r="60" spans="1:5">
      <c r="D60" s="24"/>
    </row>
    <row r="61" spans="1:5">
      <c r="D61" s="24"/>
    </row>
    <row r="62" spans="1:5">
      <c r="D62" s="24"/>
    </row>
    <row r="63" spans="1:5">
      <c r="D63" s="24"/>
    </row>
    <row r="64" spans="1:5">
      <c r="D64" s="24"/>
    </row>
    <row r="65" spans="4:4">
      <c r="D65" s="24"/>
    </row>
    <row r="66" spans="4:4">
      <c r="D66" s="24"/>
    </row>
    <row r="67" spans="4:4">
      <c r="D67" s="24"/>
    </row>
    <row r="68" spans="4:4">
      <c r="D68" s="24"/>
    </row>
    <row r="69" spans="4:4">
      <c r="D69" s="24"/>
    </row>
    <row r="70" spans="4:4">
      <c r="D70" s="24"/>
    </row>
    <row r="71" spans="4:4">
      <c r="D71" s="24"/>
    </row>
    <row r="72" spans="4:4">
      <c r="D72" s="24"/>
    </row>
    <row r="73" spans="4:4">
      <c r="D73" s="24"/>
    </row>
    <row r="74" spans="4:4">
      <c r="D74" s="24"/>
    </row>
    <row r="75" spans="4:4">
      <c r="D75" s="24"/>
    </row>
    <row r="76" spans="4:4">
      <c r="D76" s="24"/>
    </row>
    <row r="77" spans="4:4">
      <c r="D77" s="24"/>
    </row>
    <row r="78" spans="4:4">
      <c r="D78" s="24"/>
    </row>
    <row r="79" spans="4:4">
      <c r="D79" s="24"/>
    </row>
    <row r="80" spans="4:4">
      <c r="D80" s="24"/>
    </row>
    <row r="81" spans="4:4">
      <c r="D81" s="24"/>
    </row>
    <row r="82" spans="4:4">
      <c r="D82" s="24"/>
    </row>
    <row r="83" spans="4:4">
      <c r="D83" s="24"/>
    </row>
    <row r="84" spans="4:4">
      <c r="D84" s="24"/>
    </row>
    <row r="85" spans="4:4">
      <c r="D85" s="24"/>
    </row>
    <row r="86" spans="4:4">
      <c r="D86" s="24"/>
    </row>
    <row r="87" spans="4:4">
      <c r="D87" s="24"/>
    </row>
    <row r="88" spans="4:4">
      <c r="D88" s="24"/>
    </row>
    <row r="89" spans="4:4">
      <c r="D89" s="24"/>
    </row>
    <row r="90" spans="4:4">
      <c r="D90" s="24"/>
    </row>
    <row r="91" spans="4:4">
      <c r="D91" s="24"/>
    </row>
    <row r="92" spans="4:4">
      <c r="D92" s="24"/>
    </row>
    <row r="93" spans="4:4">
      <c r="D93" s="24"/>
    </row>
  </sheetData>
  <phoneticPr fontId="0" type="noConversion"/>
  <printOptions horizontalCentered="1"/>
  <pageMargins left="0.75" right="0.75" top="1" bottom="1" header="0.5" footer="0.5"/>
  <pageSetup scale="83" orientation="landscape" r:id="rId1"/>
  <headerFooter alignWithMargins="0">
    <oddFooter>&amp;L&amp;F</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4"/>
  <dimension ref="A1:N136"/>
  <sheetViews>
    <sheetView zoomScale="70" zoomScaleNormal="70" workbookViewId="0"/>
  </sheetViews>
  <sheetFormatPr baseColWidth="10" defaultColWidth="9.1640625" defaultRowHeight="13"/>
  <cols>
    <col min="1" max="1" width="31.5" style="4" customWidth="1"/>
    <col min="2" max="2" width="11.5" customWidth="1"/>
    <col min="3" max="3" width="2.5" customWidth="1"/>
    <col min="4" max="4" width="11.5" style="28" customWidth="1"/>
    <col min="5" max="5" width="2.5" style="28" customWidth="1"/>
    <col min="6" max="6" width="11.5" style="28" customWidth="1"/>
    <col min="7" max="7" width="2.5" style="28" customWidth="1"/>
    <col min="8" max="8" width="11.5" style="57" customWidth="1"/>
    <col min="9" max="9" width="2.5" style="57" customWidth="1"/>
    <col min="10" max="11" width="11.5" style="28" customWidth="1"/>
    <col min="12" max="16384" width="9.1640625" style="4"/>
  </cols>
  <sheetData>
    <row r="1" spans="1:11" ht="15.75" customHeight="1">
      <c r="A1" s="117" t="s">
        <v>552</v>
      </c>
      <c r="D1" s="2"/>
      <c r="E1" s="2"/>
      <c r="F1" s="2"/>
      <c r="G1" s="2"/>
      <c r="H1" s="2"/>
      <c r="I1" s="2"/>
      <c r="J1" s="2"/>
      <c r="K1" s="2"/>
    </row>
    <row r="2" spans="1:11" ht="16">
      <c r="A2" s="117" t="s">
        <v>780</v>
      </c>
      <c r="D2" s="2"/>
      <c r="E2" s="2"/>
      <c r="F2" s="2"/>
      <c r="G2" s="2"/>
      <c r="H2" s="2"/>
      <c r="I2" s="2"/>
      <c r="J2" s="2"/>
      <c r="K2" s="2"/>
    </row>
    <row r="3" spans="1:11" ht="25.5" customHeight="1">
      <c r="A3" s="66"/>
      <c r="B3" s="125" t="s">
        <v>217</v>
      </c>
      <c r="C3" s="125"/>
      <c r="D3" s="138" t="s">
        <v>212</v>
      </c>
      <c r="E3" s="138"/>
      <c r="F3" s="141" t="s">
        <v>99</v>
      </c>
      <c r="G3" s="141"/>
      <c r="H3" s="142" t="s">
        <v>246</v>
      </c>
      <c r="I3" s="142"/>
      <c r="J3" s="119" t="s">
        <v>213</v>
      </c>
      <c r="K3" s="31" t="s">
        <v>128</v>
      </c>
    </row>
    <row r="4" spans="1:11" ht="16">
      <c r="A4" s="117" t="s">
        <v>427</v>
      </c>
      <c r="B4" s="125"/>
      <c r="C4" s="125"/>
      <c r="D4" s="138"/>
      <c r="E4" s="138"/>
      <c r="F4" s="141"/>
      <c r="G4" s="141"/>
      <c r="H4" s="142"/>
      <c r="I4" s="142"/>
      <c r="J4" s="119"/>
      <c r="K4" s="31"/>
    </row>
    <row r="5" spans="1:11" ht="5" customHeight="1">
      <c r="A5" s="117"/>
      <c r="B5" s="125"/>
      <c r="C5" s="125"/>
      <c r="D5" s="138"/>
      <c r="E5" s="138"/>
      <c r="F5" s="141"/>
      <c r="G5" s="141"/>
      <c r="H5" s="142"/>
      <c r="I5" s="142"/>
      <c r="J5" s="119"/>
      <c r="K5" s="31"/>
    </row>
    <row r="6" spans="1:11">
      <c r="A6" s="345" t="s">
        <v>286</v>
      </c>
      <c r="B6" s="125"/>
      <c r="C6" s="125"/>
      <c r="D6" s="138"/>
      <c r="E6" s="138"/>
      <c r="F6" s="141"/>
      <c r="G6" s="141"/>
      <c r="H6" s="142"/>
      <c r="I6" s="142"/>
      <c r="J6" s="119"/>
      <c r="K6" s="31"/>
    </row>
    <row r="7" spans="1:11">
      <c r="A7" s="60" t="s">
        <v>168</v>
      </c>
      <c r="B7" s="6"/>
      <c r="C7" s="6"/>
      <c r="D7" s="29"/>
      <c r="E7" s="29"/>
      <c r="F7" s="64"/>
      <c r="G7" s="64"/>
      <c r="H7" s="74"/>
      <c r="I7" s="39"/>
      <c r="J7" s="29"/>
      <c r="K7" s="64"/>
    </row>
    <row r="8" spans="1:11" ht="14">
      <c r="A8" s="246" t="s">
        <v>125</v>
      </c>
      <c r="B8" s="75">
        <f>SUM('Table 3.20-CFS Non-CIOSS'!B7,'Table 3.20-CFS Non-CIOSS'!B12,'Table 3.20-CFS Non-CIOSS'!B17)</f>
        <v>0</v>
      </c>
      <c r="C8" s="212" t="s">
        <v>233</v>
      </c>
      <c r="D8" s="36">
        <f>SUM('Table 3.20-CFS Non-CIOSS'!C7,'Table 3.20-CFS Non-CIOSS'!C12,'Table 3.20-CFS Non-CIOSS'!C17)</f>
        <v>0</v>
      </c>
      <c r="E8" s="212" t="s">
        <v>233</v>
      </c>
      <c r="F8" s="61" t="str">
        <f>IF(ISERROR(D8/B8),"n/a",D8/B8)</f>
        <v>n/a</v>
      </c>
      <c r="G8" s="63"/>
      <c r="H8" s="39">
        <v>1.7055951497654467</v>
      </c>
      <c r="I8" s="39"/>
      <c r="J8" s="36">
        <f>D8*$H8</f>
        <v>0</v>
      </c>
      <c r="K8" s="61" t="str">
        <f>IF(ISERROR(J8/B8),"n/a",J8/B8)</f>
        <v>n/a</v>
      </c>
    </row>
    <row r="9" spans="1:11">
      <c r="A9" s="246" t="s">
        <v>287</v>
      </c>
      <c r="B9" s="75">
        <f>SUM('Table 3.20-CFS Non-CIOSS'!B8,'Table 3.20-CFS Non-CIOSS'!B13,'Table 3.20-CFS Non-CIOSS'!B18)</f>
        <v>143163.58874744765</v>
      </c>
      <c r="C9" s="212" t="s">
        <v>233</v>
      </c>
      <c r="D9" s="36">
        <f>SUM('Table 3.20-CFS Non-CIOSS'!C8,'Table 3.20-CFS Non-CIOSS'!C13,'Table 3.20-CFS Non-CIOSS'!C18)</f>
        <v>27634.179122906611</v>
      </c>
      <c r="E9" s="212" t="s">
        <v>233</v>
      </c>
      <c r="F9" s="61">
        <f>IF(ISERROR(D9/B9),"n/a",D9/B9)</f>
        <v>0.19302519142388627</v>
      </c>
      <c r="G9" s="63"/>
      <c r="H9" s="39">
        <v>1.7055951497654467</v>
      </c>
      <c r="I9" s="39"/>
      <c r="J9" s="36">
        <f>D9*$H9</f>
        <v>47132.721879779085</v>
      </c>
      <c r="K9" s="61">
        <f>IF(ISERROR(J9/B9),"n/a",J9/B9)</f>
        <v>0.32922283027512733</v>
      </c>
    </row>
    <row r="10" spans="1:11" ht="5" customHeight="1">
      <c r="A10" s="66"/>
      <c r="B10" s="143"/>
      <c r="C10" s="143"/>
      <c r="D10" s="145"/>
      <c r="E10" s="143"/>
      <c r="F10" s="144"/>
      <c r="G10" s="141"/>
      <c r="H10" s="142"/>
      <c r="I10" s="142"/>
      <c r="J10" s="146"/>
      <c r="K10" s="61"/>
    </row>
    <row r="11" spans="1:11">
      <c r="A11" s="60" t="s">
        <v>171</v>
      </c>
      <c r="B11" s="34"/>
      <c r="C11" s="34"/>
      <c r="D11" s="36"/>
      <c r="E11" s="34"/>
      <c r="F11" s="63"/>
      <c r="G11" s="20"/>
      <c r="H11" s="20"/>
      <c r="I11" s="20"/>
      <c r="J11" s="36"/>
      <c r="K11" s="63"/>
    </row>
    <row r="12" spans="1:11" ht="14">
      <c r="A12" s="246" t="s">
        <v>125</v>
      </c>
      <c r="B12" s="75">
        <f>SUM('Table 3.20-CFS Non-CIOSS'!B23,'Table 3.20-CFS Non-CIOSS'!B28,'Table 3.20-CFS Non-CIOSS'!B33)</f>
        <v>0</v>
      </c>
      <c r="C12" s="212" t="s">
        <v>233</v>
      </c>
      <c r="D12" s="36">
        <f>SUM('Table 3.20-CFS Non-CIOSS'!C23,'Table 3.20-CFS Non-CIOSS'!C28,'Table 3.20-CFS Non-CIOSS'!C33)</f>
        <v>0</v>
      </c>
      <c r="E12" s="212" t="s">
        <v>233</v>
      </c>
      <c r="F12" s="61" t="str">
        <f>IF(ISERROR(D12/B12),"n/a",D12/B12)</f>
        <v>n/a</v>
      </c>
      <c r="G12" s="63"/>
      <c r="H12" s="39">
        <v>1.7055951497654467</v>
      </c>
      <c r="I12" s="39"/>
      <c r="J12" s="36">
        <f>D12*$H12</f>
        <v>0</v>
      </c>
      <c r="K12" s="61" t="str">
        <f>IF(ISERROR(J12/B12),"n/a",J12/B12)</f>
        <v>n/a</v>
      </c>
    </row>
    <row r="13" spans="1:11">
      <c r="A13" s="246" t="s">
        <v>287</v>
      </c>
      <c r="B13" s="75">
        <f>SUM('Table 3.20-CFS Non-CIOSS'!B24,'Table 3.20-CFS Non-CIOSS'!B29,'Table 3.20-CFS Non-CIOSS'!B34)</f>
        <v>19942.507817869391</v>
      </c>
      <c r="C13" s="212" t="s">
        <v>233</v>
      </c>
      <c r="D13" s="36">
        <f>SUM('Table 3.20-CFS Non-CIOSS'!C24,'Table 3.20-CFS Non-CIOSS'!C29,'Table 3.20-CFS Non-CIOSS'!C34)</f>
        <v>7052.5223523747445</v>
      </c>
      <c r="E13" s="212" t="s">
        <v>233</v>
      </c>
      <c r="F13" s="61">
        <f>IF(ISERROR(D13/B13),"n/a",D13/B13)</f>
        <v>0.35364270215079796</v>
      </c>
      <c r="G13" s="63"/>
      <c r="H13" s="39">
        <v>1.7055951497654467</v>
      </c>
      <c r="I13" s="39"/>
      <c r="J13" s="36">
        <f>D13*$H13</f>
        <v>12028.747917822762</v>
      </c>
      <c r="K13" s="61">
        <f>IF(ISERROR(J13/B13),"n/a",J13/B13)</f>
        <v>0.60317127753834743</v>
      </c>
    </row>
    <row r="14" spans="1:11" ht="5" customHeight="1">
      <c r="A14" s="66"/>
      <c r="B14" s="143"/>
      <c r="C14" s="143"/>
      <c r="D14" s="145"/>
      <c r="E14" s="145"/>
      <c r="F14" s="144"/>
      <c r="G14" s="141"/>
      <c r="H14" s="142"/>
      <c r="I14" s="142"/>
      <c r="J14" s="146"/>
      <c r="K14" s="61"/>
    </row>
    <row r="15" spans="1:11">
      <c r="A15" s="246" t="s">
        <v>172</v>
      </c>
      <c r="B15" s="34">
        <f>SUM(B8:B9)</f>
        <v>143163.58874744765</v>
      </c>
      <c r="C15" s="34"/>
      <c r="D15" s="36">
        <f>SUM(D8:D9)</f>
        <v>27634.179122906611</v>
      </c>
      <c r="E15" s="36"/>
      <c r="F15" s="61">
        <f>IF(ISERROR(D15/B15),"n/a",D15/B15)</f>
        <v>0.19302519142388627</v>
      </c>
      <c r="G15" s="31"/>
      <c r="H15" s="55"/>
      <c r="I15" s="55"/>
      <c r="J15" s="36">
        <f>SUM(J8:J9)</f>
        <v>47132.721879779085</v>
      </c>
      <c r="K15" s="61">
        <f>IF(ISERROR(J15/B15),"n/a",J15/B15)</f>
        <v>0.32922283027512733</v>
      </c>
    </row>
    <row r="16" spans="1:11">
      <c r="A16" s="246" t="s">
        <v>173</v>
      </c>
      <c r="B16" s="34">
        <f>SUM(B12:B13)</f>
        <v>19942.507817869391</v>
      </c>
      <c r="C16" s="34"/>
      <c r="D16" s="36">
        <f>SUM(D12:D13)</f>
        <v>7052.5223523747445</v>
      </c>
      <c r="E16" s="36"/>
      <c r="F16" s="61">
        <f>IF(ISERROR(D16/B16),"n/a",D16/B16)</f>
        <v>0.35364270215079796</v>
      </c>
      <c r="G16" s="35"/>
      <c r="H16" s="56"/>
      <c r="I16" s="56"/>
      <c r="J16" s="36">
        <f>SUM(J12:J13)</f>
        <v>12028.747917822762</v>
      </c>
      <c r="K16" s="61">
        <f>IF(ISERROR(J16/B16),"n/a",J16/B16)</f>
        <v>0.60317127753834743</v>
      </c>
    </row>
    <row r="17" spans="1:11">
      <c r="A17" s="246" t="s">
        <v>97</v>
      </c>
      <c r="B17" s="34">
        <f>B15</f>
        <v>143163.58874744765</v>
      </c>
      <c r="C17" s="34"/>
      <c r="D17" s="36">
        <f>SUM(D16,D15)</f>
        <v>34686.701475281356</v>
      </c>
      <c r="E17" s="36"/>
      <c r="F17" s="61">
        <f>IF(ISERROR(D17/B17),"n/a",D17/B17)</f>
        <v>0.24228717496368124</v>
      </c>
      <c r="G17" s="31"/>
      <c r="H17" s="55"/>
      <c r="I17" s="55"/>
      <c r="J17" s="36">
        <f>SUM(J16,J15)</f>
        <v>59161.469797601851</v>
      </c>
      <c r="K17" s="61">
        <f>IF(ISERROR(J17/B17),"n/a",J17/B17)</f>
        <v>0.41324383046842694</v>
      </c>
    </row>
    <row r="18" spans="1:11">
      <c r="A18" s="5"/>
      <c r="B18" s="34"/>
      <c r="C18" s="34"/>
      <c r="D18" s="36"/>
      <c r="E18" s="36"/>
      <c r="F18" s="61"/>
      <c r="G18" s="31"/>
      <c r="H18" s="55"/>
      <c r="I18" s="55"/>
      <c r="J18" s="36"/>
      <c r="K18" s="61"/>
    </row>
    <row r="19" spans="1:11">
      <c r="A19" s="14" t="s">
        <v>775</v>
      </c>
      <c r="B19" s="34"/>
      <c r="C19" s="205"/>
      <c r="D19" s="36"/>
      <c r="E19" s="205"/>
      <c r="F19" s="61"/>
      <c r="G19" s="31"/>
      <c r="H19" s="39"/>
      <c r="I19" s="55"/>
      <c r="J19" s="36"/>
      <c r="K19" s="61"/>
    </row>
    <row r="20" spans="1:11">
      <c r="A20" s="60" t="s">
        <v>168</v>
      </c>
      <c r="B20" s="34"/>
      <c r="C20" s="205"/>
      <c r="D20" s="36"/>
      <c r="E20" s="205"/>
      <c r="F20" s="61"/>
      <c r="G20" s="31"/>
      <c r="H20" s="39"/>
      <c r="I20" s="55"/>
      <c r="J20" s="36"/>
      <c r="K20" s="61"/>
    </row>
    <row r="21" spans="1:11" ht="14">
      <c r="A21" s="246" t="s">
        <v>125</v>
      </c>
      <c r="B21" s="34">
        <f>SUM('Table 3.20-CFS Non-CIOSS'!B69,'Table 3.20-CFS Non-CIOSS'!B74)</f>
        <v>0</v>
      </c>
      <c r="C21" s="212" t="s">
        <v>233</v>
      </c>
      <c r="D21" s="36">
        <f>SUM('Table 3.20-CFS Non-CIOSS'!C69,'Table 3.20-CFS Non-CIOSS'!C74)</f>
        <v>0</v>
      </c>
      <c r="E21" s="212" t="s">
        <v>233</v>
      </c>
      <c r="F21" s="61" t="str">
        <f>IF(ISERROR(D21/B21),"n/a",D21/B21)</f>
        <v>n/a</v>
      </c>
      <c r="G21" s="31"/>
      <c r="H21" s="39">
        <v>1.7055951497654467</v>
      </c>
      <c r="I21" s="55"/>
      <c r="J21" s="36">
        <f>D21*$H21</f>
        <v>0</v>
      </c>
      <c r="K21" s="61" t="str">
        <f>IF(ISERROR(J21/B21),"n/a",J21/B21)</f>
        <v>n/a</v>
      </c>
    </row>
    <row r="22" spans="1:11">
      <c r="A22" s="246" t="s">
        <v>287</v>
      </c>
      <c r="B22" s="34">
        <f>SUM('Table 3.20-CFS Non-CIOSS'!B70,'Table 3.20-CFS Non-CIOSS'!B75)</f>
        <v>28934.500913609234</v>
      </c>
      <c r="C22" s="212" t="s">
        <v>233</v>
      </c>
      <c r="D22" s="36">
        <f>SUM('Table 3.20-CFS Non-CIOSS'!C70,'Table 3.20-CFS Non-CIOSS'!C75)</f>
        <v>448.17780415989455</v>
      </c>
      <c r="E22" s="212" t="s">
        <v>233</v>
      </c>
      <c r="F22" s="61">
        <f>IF(ISERROR(D22/B22),"n/a",D22/B22)</f>
        <v>1.5489391211482614E-2</v>
      </c>
      <c r="G22" s="31"/>
      <c r="H22" s="39">
        <v>1.7055951497654467</v>
      </c>
      <c r="I22" s="55"/>
      <c r="J22" s="36">
        <f>D22*$H22</f>
        <v>764.40988900764432</v>
      </c>
      <c r="K22" s="61">
        <f>IF(ISERROR(J22/B22),"n/a",J22/B22)</f>
        <v>2.6418630523124282E-2</v>
      </c>
    </row>
    <row r="23" spans="1:11" ht="5" customHeight="1">
      <c r="A23" s="66"/>
      <c r="B23" s="34"/>
      <c r="C23" s="205"/>
      <c r="D23" s="34"/>
      <c r="E23" s="205"/>
      <c r="F23" s="61"/>
      <c r="G23" s="31"/>
      <c r="H23" s="39"/>
      <c r="I23" s="55"/>
      <c r="J23" s="34"/>
      <c r="K23" s="61"/>
    </row>
    <row r="24" spans="1:11">
      <c r="A24" s="60" t="s">
        <v>171</v>
      </c>
      <c r="B24" s="34"/>
      <c r="C24" s="205"/>
      <c r="D24" s="34"/>
      <c r="E24" s="205"/>
      <c r="F24" s="61"/>
      <c r="G24" s="31"/>
      <c r="H24" s="39"/>
      <c r="I24" s="55"/>
      <c r="J24" s="34"/>
      <c r="K24" s="61"/>
    </row>
    <row r="25" spans="1:11" ht="14">
      <c r="A25" s="246" t="s">
        <v>125</v>
      </c>
      <c r="B25" s="34">
        <f>SUM('Table 3.20-CFS Non-CIOSS'!B80,'Table 3.20-CFS Non-CIOSS'!B85)</f>
        <v>0</v>
      </c>
      <c r="C25" s="212" t="s">
        <v>233</v>
      </c>
      <c r="D25" s="36">
        <f>SUM('Table 3.20-CFS Non-CIOSS'!C80,'Table 3.20-CFS Non-CIOSS'!C85)</f>
        <v>0</v>
      </c>
      <c r="E25" s="212" t="s">
        <v>233</v>
      </c>
      <c r="F25" s="61" t="str">
        <f>IF(ISERROR(D25/B25),"n/a",D25/B25)</f>
        <v>n/a</v>
      </c>
      <c r="G25" s="31"/>
      <c r="H25" s="39">
        <v>1.7055951497654467</v>
      </c>
      <c r="I25" s="55"/>
      <c r="J25" s="36">
        <f>D25*$H25</f>
        <v>0</v>
      </c>
      <c r="K25" s="61" t="str">
        <f>IF(ISERROR(J25/B25),"n/a",J25/B25)</f>
        <v>n/a</v>
      </c>
    </row>
    <row r="26" spans="1:11">
      <c r="A26" s="246" t="s">
        <v>287</v>
      </c>
      <c r="B26" s="34">
        <f>SUM('Table 3.20-CFS Non-CIOSS'!B81,'Table 3.20-CFS Non-CIOSS'!B86)</f>
        <v>28934.500913609234</v>
      </c>
      <c r="C26" s="212" t="s">
        <v>233</v>
      </c>
      <c r="D26" s="36">
        <f>SUM('Table 3.20-CFS Non-CIOSS'!C81,'Table 3.20-CFS Non-CIOSS'!C86)</f>
        <v>8213.3474216288814</v>
      </c>
      <c r="E26" s="212" t="s">
        <v>233</v>
      </c>
      <c r="F26" s="61">
        <f>IF(ISERROR(D26/B26),"n/a",D26/B26)</f>
        <v>0.28385999973359705</v>
      </c>
      <c r="G26" s="31"/>
      <c r="H26" s="39">
        <v>1.7055951497654467</v>
      </c>
      <c r="I26" s="55"/>
      <c r="J26" s="36">
        <f>D26*$H26</f>
        <v>14008.645525668757</v>
      </c>
      <c r="K26" s="61">
        <f>IF(ISERROR(J26/B26),"n/a",J26/B26)</f>
        <v>0.48415023875804414</v>
      </c>
    </row>
    <row r="27" spans="1:11" ht="5" customHeight="1">
      <c r="A27" s="66"/>
      <c r="B27" s="34"/>
      <c r="C27" s="205"/>
      <c r="D27" s="36"/>
      <c r="E27" s="205"/>
      <c r="F27" s="61"/>
      <c r="G27" s="31"/>
      <c r="H27" s="39"/>
      <c r="I27" s="55"/>
      <c r="J27" s="36"/>
      <c r="K27" s="61"/>
    </row>
    <row r="28" spans="1:11">
      <c r="A28" s="246" t="s">
        <v>172</v>
      </c>
      <c r="B28" s="34">
        <f>SUM(B21:B22)</f>
        <v>28934.500913609234</v>
      </c>
      <c r="C28" s="205"/>
      <c r="D28" s="36">
        <f>SUM(D21:D22)</f>
        <v>448.17780415989455</v>
      </c>
      <c r="E28" s="205"/>
      <c r="F28" s="61">
        <f>IF(ISERROR(D28/B28),"n/a",D28/B28)</f>
        <v>1.5489391211482614E-2</v>
      </c>
      <c r="G28" s="31"/>
      <c r="H28" s="39">
        <v>1.7055951497654467</v>
      </c>
      <c r="I28" s="55"/>
      <c r="J28" s="36">
        <f>D28*$H28</f>
        <v>764.40988900764432</v>
      </c>
      <c r="K28" s="61">
        <f>IF(ISERROR(J28/B28),"n/a",J28/B28)</f>
        <v>2.6418630523124282E-2</v>
      </c>
    </row>
    <row r="29" spans="1:11">
      <c r="A29" s="246" t="s">
        <v>173</v>
      </c>
      <c r="B29" s="34">
        <f>SUM(B25:B26)</f>
        <v>28934.500913609234</v>
      </c>
      <c r="C29" s="205"/>
      <c r="D29" s="36">
        <f>SUM(D25:D26)</f>
        <v>8213.3474216288814</v>
      </c>
      <c r="E29" s="205"/>
      <c r="F29" s="61">
        <f>IF(ISERROR(D29/B29),"n/a",D29/B29)</f>
        <v>0.28385999973359705</v>
      </c>
      <c r="G29" s="31"/>
      <c r="H29" s="39">
        <v>1.7055951497654467</v>
      </c>
      <c r="I29" s="55"/>
      <c r="J29" s="36">
        <f>D29*$H29</f>
        <v>14008.645525668757</v>
      </c>
      <c r="K29" s="61">
        <f>IF(ISERROR(J29/B29),"n/a",J29/B29)</f>
        <v>0.48415023875804414</v>
      </c>
    </row>
    <row r="30" spans="1:11" ht="12.75" customHeight="1">
      <c r="A30" s="246" t="s">
        <v>97</v>
      </c>
      <c r="B30" s="34">
        <f>B29</f>
        <v>28934.500913609234</v>
      </c>
      <c r="C30" s="205"/>
      <c r="D30" s="36">
        <f>SUM(D28:D29)</f>
        <v>8661.5252257887769</v>
      </c>
      <c r="E30" s="205"/>
      <c r="F30" s="61">
        <f>IF(ISERROR(D30/B30),"n/a",D30/B30)</f>
        <v>0.29934939094507973</v>
      </c>
      <c r="G30" s="31"/>
      <c r="H30" s="39"/>
      <c r="I30" s="55"/>
      <c r="J30" s="36">
        <f>SUM(J28:J29)</f>
        <v>14773.055414676401</v>
      </c>
      <c r="K30" s="61">
        <f>IF(ISERROR(J30/B30),"n/a",J30/B30)</f>
        <v>0.5105688692811684</v>
      </c>
    </row>
    <row r="31" spans="1:11" ht="12.75" customHeight="1">
      <c r="A31" s="250"/>
      <c r="B31" s="34"/>
      <c r="C31" s="205"/>
      <c r="D31" s="36"/>
      <c r="E31" s="205"/>
      <c r="F31" s="61"/>
      <c r="G31" s="31"/>
      <c r="H31" s="39"/>
      <c r="I31" s="55"/>
      <c r="J31" s="36"/>
      <c r="K31" s="61"/>
    </row>
    <row r="32" spans="1:11" ht="15.75" customHeight="1">
      <c r="A32" s="117" t="s">
        <v>640</v>
      </c>
      <c r="D32" s="2"/>
      <c r="E32" s="2"/>
      <c r="F32" s="2"/>
      <c r="G32" s="2"/>
      <c r="H32" s="2"/>
      <c r="I32" s="2"/>
      <c r="J32" s="2"/>
      <c r="K32" s="2"/>
    </row>
    <row r="33" spans="1:11" ht="15.75" customHeight="1">
      <c r="A33" s="117" t="s">
        <v>780</v>
      </c>
      <c r="D33" s="2"/>
      <c r="E33" s="2"/>
      <c r="F33" s="2"/>
      <c r="G33" s="2"/>
      <c r="H33" s="2"/>
      <c r="I33" s="2"/>
      <c r="J33" s="2"/>
      <c r="K33" s="2"/>
    </row>
    <row r="34" spans="1:11" ht="25.5" customHeight="1">
      <c r="A34" s="66"/>
      <c r="B34" s="125" t="s">
        <v>217</v>
      </c>
      <c r="C34" s="125"/>
      <c r="D34" s="138" t="s">
        <v>212</v>
      </c>
      <c r="E34" s="138"/>
      <c r="F34" s="141" t="s">
        <v>99</v>
      </c>
      <c r="G34" s="141"/>
      <c r="H34" s="142" t="s">
        <v>246</v>
      </c>
      <c r="I34" s="142"/>
      <c r="J34" s="119" t="s">
        <v>213</v>
      </c>
      <c r="K34" s="31" t="s">
        <v>128</v>
      </c>
    </row>
    <row r="35" spans="1:11" ht="16">
      <c r="A35" s="117" t="s">
        <v>428</v>
      </c>
      <c r="B35" s="125"/>
      <c r="C35" s="125"/>
      <c r="D35" s="138"/>
      <c r="E35" s="138"/>
      <c r="F35" s="141"/>
      <c r="G35" s="141"/>
      <c r="H35" s="142"/>
      <c r="I35" s="142"/>
      <c r="J35" s="119"/>
      <c r="K35" s="31"/>
    </row>
    <row r="36" spans="1:11" ht="5" customHeight="1">
      <c r="A36" s="117"/>
      <c r="B36" s="125"/>
      <c r="C36" s="125"/>
      <c r="D36" s="138"/>
      <c r="E36" s="138"/>
      <c r="F36" s="141"/>
      <c r="G36" s="141"/>
      <c r="H36" s="142"/>
      <c r="I36" s="142"/>
      <c r="J36" s="119"/>
      <c r="K36" s="31"/>
    </row>
    <row r="37" spans="1:11">
      <c r="A37" s="345" t="s">
        <v>286</v>
      </c>
      <c r="B37" s="125"/>
      <c r="C37" s="125"/>
      <c r="D37" s="138"/>
      <c r="E37" s="138"/>
      <c r="F37" s="141"/>
      <c r="G37" s="141"/>
      <c r="H37" s="142"/>
      <c r="I37" s="142"/>
      <c r="J37" s="119"/>
      <c r="K37" s="31"/>
    </row>
    <row r="38" spans="1:11">
      <c r="A38" s="60" t="s">
        <v>168</v>
      </c>
      <c r="B38" s="6"/>
      <c r="C38" s="6"/>
      <c r="D38" s="29"/>
      <c r="E38" s="29"/>
      <c r="F38" s="64"/>
      <c r="G38" s="64"/>
      <c r="H38" s="74"/>
      <c r="I38" s="39"/>
      <c r="J38" s="29"/>
      <c r="K38" s="64"/>
    </row>
    <row r="39" spans="1:11" ht="14">
      <c r="A39" s="246" t="s">
        <v>125</v>
      </c>
      <c r="B39" s="75">
        <f>SUM('Table 3.21-CFS CIOSS Rejs'!B7,'Table 3.21-CFS CIOSS Rejs'!B12,'Table 3.21-CFS CIOSS Rejs'!B17)</f>
        <v>0</v>
      </c>
      <c r="C39" s="212" t="s">
        <v>235</v>
      </c>
      <c r="D39" s="36">
        <f>SUM('Table 3.21-CFS CIOSS Rejs'!C7,'Table 3.21-CFS CIOSS Rejs'!C12,'Table 3.21-CFS CIOSS Rejs'!C17)</f>
        <v>0</v>
      </c>
      <c r="E39" s="212" t="s">
        <v>235</v>
      </c>
      <c r="F39" s="61" t="str">
        <f>IF(ISERROR(D39/B39),"n/a",D39/B39)</f>
        <v>n/a</v>
      </c>
      <c r="G39" s="63"/>
      <c r="H39" s="39">
        <v>1.7055951497654467</v>
      </c>
      <c r="I39" s="39"/>
      <c r="J39" s="36">
        <f>D39*$H39</f>
        <v>0</v>
      </c>
      <c r="K39" s="61" t="str">
        <f>IF(ISERROR(J39/B39),"n/a",J39/B39)</f>
        <v>n/a</v>
      </c>
    </row>
    <row r="40" spans="1:11">
      <c r="A40" s="246" t="s">
        <v>287</v>
      </c>
      <c r="B40" s="75">
        <f>SUM('Table 3.21-CFS CIOSS Rejs'!B8,'Table 3.21-CFS CIOSS Rejs'!B13,'Table 3.21-CFS CIOSS Rejs'!B18)</f>
        <v>10557.386158605354</v>
      </c>
      <c r="C40" s="212" t="s">
        <v>235</v>
      </c>
      <c r="D40" s="36">
        <f>SUM('Table 3.21-CFS CIOSS Rejs'!C8,'Table 3.21-CFS CIOSS Rejs'!C13,'Table 3.21-CFS CIOSS Rejs'!C18)</f>
        <v>2030.2987687706459</v>
      </c>
      <c r="E40" s="212" t="s">
        <v>235</v>
      </c>
      <c r="F40" s="61">
        <f>IF(ISERROR(D40/B40),"n/a",D40/B40)</f>
        <v>0.19231074228688169</v>
      </c>
      <c r="G40" s="63"/>
      <c r="H40" s="39">
        <v>1.7055951497654467</v>
      </c>
      <c r="I40" s="39"/>
      <c r="J40" s="36">
        <f>D40*$H40</f>
        <v>3462.8677325899716</v>
      </c>
      <c r="K40" s="61">
        <f>IF(ISERROR(J40/B40),"n/a",J40/B40)</f>
        <v>0.32800426929229815</v>
      </c>
    </row>
    <row r="41" spans="1:11" ht="5" customHeight="1">
      <c r="A41" s="66"/>
      <c r="B41" s="143"/>
      <c r="C41" s="143"/>
      <c r="D41" s="145"/>
      <c r="E41" s="143"/>
      <c r="F41" s="144"/>
      <c r="G41" s="141"/>
      <c r="H41" s="142"/>
      <c r="I41" s="142"/>
      <c r="J41" s="146"/>
      <c r="K41" s="61"/>
    </row>
    <row r="42" spans="1:11">
      <c r="A42" s="60" t="s">
        <v>171</v>
      </c>
      <c r="B42" s="34"/>
      <c r="C42" s="34"/>
      <c r="D42" s="36"/>
      <c r="E42" s="34"/>
      <c r="F42" s="63"/>
      <c r="G42" s="20"/>
      <c r="H42" s="20"/>
      <c r="I42" s="20"/>
      <c r="J42" s="36"/>
      <c r="K42" s="63"/>
    </row>
    <row r="43" spans="1:11" ht="14">
      <c r="A43" s="246" t="s">
        <v>125</v>
      </c>
      <c r="B43" s="75">
        <f>SUM('Table 3.21-CFS CIOSS Rejs'!B23,'Table 3.21-CFS CIOSS Rejs'!B28,'Table 3.21-CFS CIOSS Rejs'!B33)</f>
        <v>0</v>
      </c>
      <c r="C43" s="212" t="s">
        <v>235</v>
      </c>
      <c r="D43" s="36">
        <f>SUM('Table 3.21-CFS CIOSS Rejs'!C23,'Table 3.21-CFS CIOSS Rejs'!C28,'Table 3.21-CFS CIOSS Rejs'!C33)</f>
        <v>0</v>
      </c>
      <c r="E43" s="212" t="s">
        <v>235</v>
      </c>
      <c r="F43" s="61" t="str">
        <f>IF(ISERROR(D43/B43),"n/a",D43/B43)</f>
        <v>n/a</v>
      </c>
      <c r="G43" s="63"/>
      <c r="H43" s="39">
        <v>1.7055951497654467</v>
      </c>
      <c r="I43" s="39"/>
      <c r="J43" s="36">
        <f>D43*$H43</f>
        <v>0</v>
      </c>
      <c r="K43" s="61" t="str">
        <f>IF(ISERROR(J43/B43),"n/a",J43/B43)</f>
        <v>n/a</v>
      </c>
    </row>
    <row r="44" spans="1:11">
      <c r="A44" s="246" t="s">
        <v>287</v>
      </c>
      <c r="B44" s="75">
        <f>SUM('Table 3.21-CFS CIOSS Rejs'!B24,'Table 3.21-CFS CIOSS Rejs'!B29,'Table 3.21-CFS CIOSS Rejs'!B34)</f>
        <v>3093.3286949999992</v>
      </c>
      <c r="C44" s="212" t="s">
        <v>235</v>
      </c>
      <c r="D44" s="36">
        <f>SUM('Table 3.21-CFS CIOSS Rejs'!C24,'Table 3.21-CFS CIOSS Rejs'!C29,'Table 3.21-CFS CIOSS Rejs'!C34)</f>
        <v>1093.9331183404017</v>
      </c>
      <c r="E44" s="212" t="s">
        <v>235</v>
      </c>
      <c r="F44" s="61">
        <f>IF(ISERROR(D44/B44),"n/a",D44/B44)</f>
        <v>0.35364270215079813</v>
      </c>
      <c r="G44" s="63"/>
      <c r="H44" s="39">
        <v>1.7055951497654467</v>
      </c>
      <c r="I44" s="39"/>
      <c r="J44" s="36">
        <f>D44*$H44</f>
        <v>1865.8070208091797</v>
      </c>
      <c r="K44" s="61">
        <f>IF(ISERROR(J44/B44),"n/a",J44/B44)</f>
        <v>0.60317127753834776</v>
      </c>
    </row>
    <row r="45" spans="1:11" ht="5" customHeight="1">
      <c r="A45" s="66"/>
      <c r="B45" s="143"/>
      <c r="C45" s="143"/>
      <c r="D45" s="145"/>
      <c r="E45" s="143"/>
      <c r="F45" s="144"/>
      <c r="G45" s="141"/>
      <c r="H45" s="142"/>
      <c r="I45" s="142"/>
      <c r="J45" s="146"/>
      <c r="K45" s="61"/>
    </row>
    <row r="46" spans="1:11">
      <c r="A46" s="246" t="s">
        <v>172</v>
      </c>
      <c r="B46" s="34">
        <f>SUM(B39:B40)</f>
        <v>10557.386158605354</v>
      </c>
      <c r="C46" s="34"/>
      <c r="D46" s="36">
        <f>SUM(D39:D40)</f>
        <v>2030.2987687706459</v>
      </c>
      <c r="E46" s="34"/>
      <c r="F46" s="61">
        <f>IF(ISERROR(D46/B46),"n/a",D46/B46)</f>
        <v>0.19231074228688169</v>
      </c>
      <c r="G46" s="31"/>
      <c r="H46" s="55"/>
      <c r="I46" s="55"/>
      <c r="J46" s="36">
        <f>SUM(J39:J40)</f>
        <v>3462.8677325899716</v>
      </c>
      <c r="K46" s="61">
        <f>IF(ISERROR(J46/B46),"n/a",J46/B46)</f>
        <v>0.32800426929229815</v>
      </c>
    </row>
    <row r="47" spans="1:11">
      <c r="A47" s="246" t="s">
        <v>173</v>
      </c>
      <c r="B47" s="34">
        <f>SUM(B43:B44)</f>
        <v>3093.3286949999992</v>
      </c>
      <c r="C47" s="34"/>
      <c r="D47" s="36">
        <f>SUM(D43:D44)</f>
        <v>1093.9331183404017</v>
      </c>
      <c r="E47" s="34"/>
      <c r="F47" s="61">
        <f>IF(ISERROR(D47/B47),"n/a",D47/B47)</f>
        <v>0.35364270215079813</v>
      </c>
      <c r="G47" s="35"/>
      <c r="H47" s="56"/>
      <c r="I47" s="56"/>
      <c r="J47" s="36">
        <f>SUM(J43:J44)</f>
        <v>1865.8070208091797</v>
      </c>
      <c r="K47" s="61">
        <f>IF(ISERROR(J47/B47),"n/a",J47/B47)</f>
        <v>0.60317127753834776</v>
      </c>
    </row>
    <row r="48" spans="1:11">
      <c r="A48" s="246" t="s">
        <v>97</v>
      </c>
      <c r="B48" s="34">
        <f>B46</f>
        <v>10557.386158605354</v>
      </c>
      <c r="C48" s="34"/>
      <c r="D48" s="36">
        <f>SUM(D47,D46)</f>
        <v>3124.2318871110474</v>
      </c>
      <c r="E48" s="34"/>
      <c r="F48" s="61">
        <f>IF(ISERROR(D48/B48),"n/a",D48/B48)</f>
        <v>0.29592854141879404</v>
      </c>
      <c r="G48" s="31"/>
      <c r="H48" s="55"/>
      <c r="I48" s="55"/>
      <c r="J48" s="36">
        <f>SUM(J47,J46)</f>
        <v>5328.6747533991511</v>
      </c>
      <c r="K48" s="61">
        <f>IF(ISERROR(J48/B48),"n/a",J48/B48)</f>
        <v>0.50473428492105821</v>
      </c>
    </row>
    <row r="49" spans="1:11">
      <c r="A49" s="5"/>
      <c r="B49" s="34"/>
      <c r="C49" s="34"/>
      <c r="D49" s="36"/>
      <c r="E49" s="34"/>
      <c r="F49" s="61"/>
      <c r="G49" s="31"/>
      <c r="H49" s="55"/>
      <c r="I49" s="55"/>
      <c r="J49" s="36"/>
      <c r="K49" s="61"/>
    </row>
    <row r="50" spans="1:11">
      <c r="A50" s="14" t="s">
        <v>775</v>
      </c>
      <c r="B50" s="34"/>
      <c r="C50" s="205"/>
      <c r="D50" s="36"/>
      <c r="E50" s="205"/>
      <c r="F50" s="61"/>
      <c r="G50" s="31"/>
      <c r="H50" s="39"/>
      <c r="I50" s="55"/>
      <c r="J50" s="36"/>
      <c r="K50" s="61"/>
    </row>
    <row r="51" spans="1:11">
      <c r="A51" s="60" t="s">
        <v>168</v>
      </c>
      <c r="B51" s="34"/>
      <c r="C51" s="205"/>
      <c r="D51" s="36"/>
      <c r="E51" s="205"/>
      <c r="F51" s="61"/>
      <c r="G51" s="31"/>
      <c r="H51" s="39"/>
      <c r="I51" s="55"/>
      <c r="J51" s="36"/>
      <c r="K51" s="61"/>
    </row>
    <row r="52" spans="1:11" ht="14">
      <c r="A52" s="246" t="s">
        <v>125</v>
      </c>
      <c r="B52" s="34">
        <f>SUM('Table 3.21-CFS CIOSS Rejs'!B69,'Table 3.21-CFS CIOSS Rejs'!B74)</f>
        <v>0</v>
      </c>
      <c r="C52" s="212" t="s">
        <v>235</v>
      </c>
      <c r="D52" s="36">
        <f>SUM('Table 3.21-CFS CIOSS Rejs'!C69,'Table 3.21-CFS CIOSS Rejs'!C74)</f>
        <v>0</v>
      </c>
      <c r="E52" s="212" t="s">
        <v>235</v>
      </c>
      <c r="F52" s="61" t="str">
        <f>IF(ISERROR(D52/B52),"n/a",D52/B52)</f>
        <v>n/a</v>
      </c>
      <c r="G52" s="31"/>
      <c r="H52" s="39">
        <v>1.7055951497654467</v>
      </c>
      <c r="I52" s="55"/>
      <c r="J52" s="36">
        <f>D52*$H52</f>
        <v>0</v>
      </c>
      <c r="K52" s="61" t="str">
        <f>IF(ISERROR(J52/B52),"n/a",J52/B52)</f>
        <v>n/a</v>
      </c>
    </row>
    <row r="53" spans="1:11">
      <c r="A53" s="246" t="s">
        <v>287</v>
      </c>
      <c r="B53" s="34">
        <f>SUM('Table 3.21-CFS CIOSS Rejs'!B70,'Table 3.21-CFS CIOSS Rejs'!B75)</f>
        <v>8703.6585607501929</v>
      </c>
      <c r="C53" s="212" t="s">
        <v>235</v>
      </c>
      <c r="D53" s="36">
        <f>SUM('Table 3.21-CFS CIOSS Rejs'!C70,'Table 3.21-CFS CIOSS Rejs'!C75)</f>
        <v>134.81437241862943</v>
      </c>
      <c r="E53" s="212" t="s">
        <v>235</v>
      </c>
      <c r="F53" s="61">
        <f>IF(ISERROR(D53/B53),"n/a",D53/B53)</f>
        <v>1.5489391211482611E-2</v>
      </c>
      <c r="G53" s="31"/>
      <c r="H53" s="39">
        <v>1.7055951497654467</v>
      </c>
      <c r="I53" s="55"/>
      <c r="J53" s="36">
        <f>D53*$H53</f>
        <v>229.93873971588698</v>
      </c>
      <c r="K53" s="61">
        <f>IF(ISERROR(J53/B53),"n/a",J53/B53)</f>
        <v>2.6418630523124279E-2</v>
      </c>
    </row>
    <row r="54" spans="1:11" ht="5" customHeight="1">
      <c r="A54" s="66"/>
      <c r="B54" s="34"/>
      <c r="C54" s="205"/>
      <c r="D54" s="34"/>
      <c r="E54" s="205"/>
      <c r="F54" s="61"/>
      <c r="G54" s="31"/>
      <c r="H54" s="39"/>
      <c r="I54" s="55"/>
      <c r="J54" s="34"/>
      <c r="K54" s="61"/>
    </row>
    <row r="55" spans="1:11">
      <c r="A55" s="60" t="s">
        <v>171</v>
      </c>
      <c r="B55" s="34"/>
      <c r="C55" s="205"/>
      <c r="D55" s="34"/>
      <c r="E55" s="205"/>
      <c r="F55" s="61"/>
      <c r="G55" s="31"/>
      <c r="H55" s="39"/>
      <c r="I55" s="55"/>
      <c r="J55" s="34"/>
      <c r="K55" s="61"/>
    </row>
    <row r="56" spans="1:11" ht="14">
      <c r="A56" s="246" t="s">
        <v>125</v>
      </c>
      <c r="B56" s="34">
        <f>SUM('Table 3.21-CFS CIOSS Rejs'!B80,'Table 3.21-CFS CIOSS Rejs'!B85)</f>
        <v>0</v>
      </c>
      <c r="C56" s="212" t="s">
        <v>235</v>
      </c>
      <c r="D56" s="36">
        <f>SUM('Table 3.21-CFS CIOSS Rejs'!C80,'Table 3.21-CFS CIOSS Rejs'!C85)</f>
        <v>0</v>
      </c>
      <c r="E56" s="212" t="s">
        <v>235</v>
      </c>
      <c r="F56" s="61" t="str">
        <f>IF(ISERROR(D56/B56),"n/a",D56/B56)</f>
        <v>n/a</v>
      </c>
      <c r="G56" s="31"/>
      <c r="H56" s="39">
        <v>1.7055951497654467</v>
      </c>
      <c r="I56" s="55"/>
      <c r="J56" s="36">
        <f>D56*$H56</f>
        <v>0</v>
      </c>
      <c r="K56" s="61" t="str">
        <f>IF(ISERROR(J56/B56),"n/a",J56/B56)</f>
        <v>n/a</v>
      </c>
    </row>
    <row r="57" spans="1:11">
      <c r="A57" s="246" t="s">
        <v>287</v>
      </c>
      <c r="B57" s="34">
        <f>SUM('Table 3.21-CFS CIOSS Rejs'!B81,'Table 3.21-CFS CIOSS Rejs'!B86)</f>
        <v>8703.6585607501929</v>
      </c>
      <c r="C57" s="212" t="s">
        <v>235</v>
      </c>
      <c r="D57" s="36">
        <f>SUM('Table 3.21-CFS CIOSS Rejs'!C81,'Table 3.21-CFS CIOSS Rejs'!C86)</f>
        <v>2470.6205167358694</v>
      </c>
      <c r="E57" s="212" t="s">
        <v>235</v>
      </c>
      <c r="F57" s="61">
        <f>IF(ISERROR(D57/B57),"n/a",D57/B57)</f>
        <v>0.28385999973359705</v>
      </c>
      <c r="G57" s="31"/>
      <c r="H57" s="39">
        <v>1.7055951497654467</v>
      </c>
      <c r="I57" s="55"/>
      <c r="J57" s="36">
        <f>D57*$H57</f>
        <v>4213.8783702557002</v>
      </c>
      <c r="K57" s="61">
        <f>IF(ISERROR(J57/B57),"n/a",J57/B57)</f>
        <v>0.48415023875804408</v>
      </c>
    </row>
    <row r="58" spans="1:11" ht="5" customHeight="1">
      <c r="A58" s="66"/>
      <c r="B58" s="34"/>
      <c r="C58" s="205"/>
      <c r="D58" s="36"/>
      <c r="E58" s="205"/>
      <c r="F58" s="61"/>
      <c r="G58" s="31"/>
      <c r="H58" s="39"/>
      <c r="I58" s="55"/>
      <c r="J58" s="36"/>
      <c r="K58" s="61"/>
    </row>
    <row r="59" spans="1:11">
      <c r="A59" s="246" t="s">
        <v>172</v>
      </c>
      <c r="B59" s="34">
        <f>SUM(B52:B53)</f>
        <v>8703.6585607501929</v>
      </c>
      <c r="C59" s="205"/>
      <c r="D59" s="36">
        <f>SUM(D52:D53)</f>
        <v>134.81437241862943</v>
      </c>
      <c r="E59" s="205"/>
      <c r="F59" s="61">
        <f>IF(ISERROR(D59/B59),"n/a",D59/B59)</f>
        <v>1.5489391211482611E-2</v>
      </c>
      <c r="G59" s="31"/>
      <c r="H59" s="39">
        <v>1.7055951497654467</v>
      </c>
      <c r="I59" s="55"/>
      <c r="J59" s="36">
        <f>D59*$H59</f>
        <v>229.93873971588698</v>
      </c>
      <c r="K59" s="61">
        <f>IF(ISERROR(J59/B59),"n/a",J59/B59)</f>
        <v>2.6418630523124279E-2</v>
      </c>
    </row>
    <row r="60" spans="1:11">
      <c r="A60" s="246" t="s">
        <v>173</v>
      </c>
      <c r="B60" s="34">
        <f>SUM(B56:B57)</f>
        <v>8703.6585607501929</v>
      </c>
      <c r="C60" s="205"/>
      <c r="D60" s="36">
        <f>SUM(D56:D57)</f>
        <v>2470.6205167358694</v>
      </c>
      <c r="E60" s="205"/>
      <c r="F60" s="61">
        <f>IF(ISERROR(D60/B60),"n/a",D60/B60)</f>
        <v>0.28385999973359705</v>
      </c>
      <c r="G60" s="31"/>
      <c r="H60" s="39">
        <v>1.7055951497654467</v>
      </c>
      <c r="I60" s="55"/>
      <c r="J60" s="36">
        <f>D60*$H60</f>
        <v>4213.8783702557002</v>
      </c>
      <c r="K60" s="61">
        <f>IF(ISERROR(J60/B60),"n/a",J60/B60)</f>
        <v>0.48415023875804408</v>
      </c>
    </row>
    <row r="61" spans="1:11">
      <c r="A61" s="246" t="s">
        <v>97</v>
      </c>
      <c r="B61" s="34">
        <f>B60</f>
        <v>8703.6585607501929</v>
      </c>
      <c r="C61" s="205"/>
      <c r="D61" s="36">
        <f>SUM(D59:D60)</f>
        <v>2605.4348891544987</v>
      </c>
      <c r="E61" s="205"/>
      <c r="F61" s="61">
        <f>IF(ISERROR(D61/B61),"n/a",D61/B61)</f>
        <v>0.29934939094507962</v>
      </c>
      <c r="G61" s="31"/>
      <c r="H61" s="39"/>
      <c r="I61" s="55"/>
      <c r="J61" s="36">
        <f>SUM(J59:J60)</f>
        <v>4443.8171099715873</v>
      </c>
      <c r="K61" s="61">
        <f>IF(ISERROR(J61/B61),"n/a",J61/B61)</f>
        <v>0.5105688692811684</v>
      </c>
    </row>
    <row r="62" spans="1:11">
      <c r="A62" s="246"/>
      <c r="B62" s="34"/>
      <c r="C62" s="205"/>
      <c r="D62" s="36"/>
      <c r="E62" s="205"/>
      <c r="F62" s="61"/>
      <c r="G62" s="31"/>
      <c r="H62" s="39"/>
      <c r="I62" s="55"/>
      <c r="J62" s="36"/>
      <c r="K62" s="61"/>
    </row>
    <row r="63" spans="1:11" ht="16">
      <c r="A63" s="117" t="s">
        <v>641</v>
      </c>
      <c r="D63" s="2"/>
      <c r="E63" s="2"/>
      <c r="F63" s="2"/>
      <c r="G63" s="2"/>
      <c r="H63" s="2"/>
      <c r="I63" s="2"/>
      <c r="J63" s="2"/>
      <c r="K63" s="2"/>
    </row>
    <row r="64" spans="1:11" ht="16">
      <c r="A64" s="117" t="s">
        <v>780</v>
      </c>
      <c r="D64" s="2"/>
      <c r="E64" s="2"/>
      <c r="F64" s="2"/>
      <c r="G64" s="2"/>
      <c r="H64" s="2"/>
      <c r="I64" s="2"/>
      <c r="J64" s="2"/>
      <c r="K64" s="2"/>
    </row>
    <row r="65" spans="1:11" ht="28">
      <c r="A65" s="66"/>
      <c r="B65" s="125" t="s">
        <v>217</v>
      </c>
      <c r="C65" s="125"/>
      <c r="D65" s="138" t="s">
        <v>212</v>
      </c>
      <c r="E65" s="138"/>
      <c r="F65" s="141" t="s">
        <v>99</v>
      </c>
      <c r="G65" s="141"/>
      <c r="H65" s="142" t="s">
        <v>246</v>
      </c>
      <c r="I65" s="142"/>
      <c r="J65" s="119" t="s">
        <v>213</v>
      </c>
      <c r="K65" s="31" t="s">
        <v>128</v>
      </c>
    </row>
    <row r="66" spans="1:11" ht="16">
      <c r="A66" s="335" t="s">
        <v>429</v>
      </c>
      <c r="B66" s="125"/>
      <c r="C66" s="125"/>
      <c r="D66" s="138"/>
      <c r="E66" s="138"/>
      <c r="F66" s="141"/>
      <c r="G66" s="141"/>
      <c r="H66" s="142"/>
      <c r="I66" s="142"/>
      <c r="J66" s="119"/>
      <c r="K66" s="31"/>
    </row>
    <row r="67" spans="1:11" ht="5" customHeight="1">
      <c r="A67" s="117"/>
      <c r="B67" s="125"/>
      <c r="C67" s="125"/>
      <c r="D67" s="138"/>
      <c r="E67" s="138"/>
      <c r="F67" s="141"/>
      <c r="G67" s="141"/>
      <c r="H67" s="142"/>
      <c r="I67" s="142"/>
      <c r="J67" s="119"/>
      <c r="K67" s="31"/>
    </row>
    <row r="68" spans="1:11">
      <c r="A68" s="345" t="s">
        <v>286</v>
      </c>
      <c r="B68" s="125"/>
      <c r="C68" s="125"/>
      <c r="D68" s="138"/>
      <c r="E68" s="138"/>
      <c r="F68" s="141"/>
      <c r="G68" s="141"/>
      <c r="H68" s="142"/>
      <c r="I68" s="142"/>
      <c r="J68" s="119"/>
      <c r="K68" s="31"/>
    </row>
    <row r="69" spans="1:11">
      <c r="A69" s="60" t="s">
        <v>168</v>
      </c>
      <c r="B69" s="6"/>
      <c r="C69" s="6"/>
      <c r="D69" s="29"/>
      <c r="E69" s="29"/>
      <c r="F69" s="64"/>
      <c r="G69" s="64"/>
      <c r="H69" s="74"/>
      <c r="I69" s="39"/>
      <c r="J69" s="29"/>
      <c r="K69" s="64"/>
    </row>
    <row r="70" spans="1:11" ht="14">
      <c r="A70" s="246" t="s">
        <v>125</v>
      </c>
      <c r="B70" s="75">
        <f>SUM(B8,B39)</f>
        <v>0</v>
      </c>
      <c r="C70" s="212"/>
      <c r="D70" s="36">
        <f>SUM(D8,D39)</f>
        <v>0</v>
      </c>
      <c r="E70" s="212"/>
      <c r="F70" s="61" t="str">
        <f>IF(ISERROR(D70/B70),"n/a",D70/B70)</f>
        <v>n/a</v>
      </c>
      <c r="G70" s="63"/>
      <c r="H70" s="39"/>
      <c r="I70" s="39"/>
      <c r="J70" s="36">
        <f>SUM(J8,J39)</f>
        <v>0</v>
      </c>
      <c r="K70" s="61" t="str">
        <f>IF(ISERROR(J70/B70),"n/a",J70/B70)</f>
        <v>n/a</v>
      </c>
    </row>
    <row r="71" spans="1:11">
      <c r="A71" s="246" t="s">
        <v>287</v>
      </c>
      <c r="B71" s="75">
        <f>SUM(B9,B40)</f>
        <v>153720.97490605299</v>
      </c>
      <c r="C71" s="212"/>
      <c r="D71" s="36">
        <f>SUM(D9,D40)</f>
        <v>29664.477891677256</v>
      </c>
      <c r="E71" s="212"/>
      <c r="F71" s="61">
        <f>IF(ISERROR(D71/B71),"n/a",D71/B71)</f>
        <v>0.1929761238491155</v>
      </c>
      <c r="G71" s="63"/>
      <c r="H71" s="39"/>
      <c r="I71" s="39"/>
      <c r="J71" s="36">
        <f>SUM(J9,J40)</f>
        <v>50595.589612369055</v>
      </c>
      <c r="K71" s="61">
        <f>IF(ISERROR(J71/B71),"n/a",J71/B71)</f>
        <v>0.32913914085758755</v>
      </c>
    </row>
    <row r="72" spans="1:11" ht="5" customHeight="1">
      <c r="A72" s="66"/>
      <c r="B72" s="143"/>
      <c r="C72" s="143"/>
      <c r="D72" s="36"/>
      <c r="E72" s="143"/>
      <c r="F72" s="144"/>
      <c r="G72" s="141"/>
      <c r="H72" s="142"/>
      <c r="I72" s="142"/>
      <c r="J72" s="36"/>
      <c r="K72" s="61"/>
    </row>
    <row r="73" spans="1:11">
      <c r="A73" s="60" t="s">
        <v>171</v>
      </c>
      <c r="B73" s="34"/>
      <c r="C73" s="34"/>
      <c r="D73" s="36"/>
      <c r="E73" s="34"/>
      <c r="F73" s="63"/>
      <c r="G73" s="20"/>
      <c r="H73" s="20"/>
      <c r="I73" s="20"/>
      <c r="J73" s="36"/>
      <c r="K73" s="63"/>
    </row>
    <row r="74" spans="1:11" ht="14">
      <c r="A74" s="246" t="s">
        <v>125</v>
      </c>
      <c r="B74" s="75">
        <f>SUM(B12,B43)</f>
        <v>0</v>
      </c>
      <c r="C74" s="212"/>
      <c r="D74" s="36">
        <f>SUM(D12,D43)</f>
        <v>0</v>
      </c>
      <c r="E74" s="212"/>
      <c r="F74" s="61" t="str">
        <f>IF(ISERROR(D74/B74),"n/a",D74/B74)</f>
        <v>n/a</v>
      </c>
      <c r="G74" s="63"/>
      <c r="H74" s="39"/>
      <c r="I74" s="39"/>
      <c r="J74" s="36">
        <f>SUM(J12,J43)</f>
        <v>0</v>
      </c>
      <c r="K74" s="61" t="str">
        <f>IF(ISERROR(J74/B74),"n/a",J74/B74)</f>
        <v>n/a</v>
      </c>
    </row>
    <row r="75" spans="1:11">
      <c r="A75" s="246" t="s">
        <v>287</v>
      </c>
      <c r="B75" s="75">
        <f>SUM(B13,B44)</f>
        <v>23035.836512869391</v>
      </c>
      <c r="C75" s="212"/>
      <c r="D75" s="36">
        <f>SUM(D13,D44)</f>
        <v>8146.4554707151465</v>
      </c>
      <c r="E75" s="212"/>
      <c r="F75" s="61">
        <f>IF(ISERROR(D75/B75),"n/a",D75/B75)</f>
        <v>0.35364270215079796</v>
      </c>
      <c r="G75" s="63"/>
      <c r="H75" s="39"/>
      <c r="I75" s="39"/>
      <c r="J75" s="36">
        <f>SUM(J13,J44)</f>
        <v>13894.554938631942</v>
      </c>
      <c r="K75" s="61">
        <f>IF(ISERROR(J75/B75),"n/a",J75/B75)</f>
        <v>0.60317127753834743</v>
      </c>
    </row>
    <row r="76" spans="1:11" ht="5" customHeight="1">
      <c r="A76" s="66"/>
      <c r="B76" s="143"/>
      <c r="C76" s="143"/>
      <c r="D76" s="145"/>
      <c r="E76" s="143"/>
      <c r="F76" s="144"/>
      <c r="G76" s="141"/>
      <c r="H76" s="142"/>
      <c r="I76" s="142"/>
      <c r="J76" s="145"/>
      <c r="K76" s="61"/>
    </row>
    <row r="77" spans="1:11">
      <c r="A77" s="246" t="s">
        <v>172</v>
      </c>
      <c r="B77" s="34">
        <f>SUM(B70:B71)</f>
        <v>153720.97490605299</v>
      </c>
      <c r="C77" s="34"/>
      <c r="D77" s="36">
        <f>SUM(D70:D71)</f>
        <v>29664.477891677256</v>
      </c>
      <c r="E77" s="34"/>
      <c r="F77" s="61">
        <f>IF(ISERROR(D77/B77),"n/a",D77/B77)</f>
        <v>0.1929761238491155</v>
      </c>
      <c r="G77" s="31"/>
      <c r="H77" s="55"/>
      <c r="I77" s="55"/>
      <c r="J77" s="36">
        <f>SUM(J70:J71)</f>
        <v>50595.589612369055</v>
      </c>
      <c r="K77" s="61">
        <f>IF(ISERROR(J77/B77),"n/a",J77/B77)</f>
        <v>0.32913914085758755</v>
      </c>
    </row>
    <row r="78" spans="1:11">
      <c r="A78" s="246" t="s">
        <v>173</v>
      </c>
      <c r="B78" s="34">
        <f>SUM(B74:B75)</f>
        <v>23035.836512869391</v>
      </c>
      <c r="C78" s="34"/>
      <c r="D78" s="36">
        <f>SUM(D74:D75)</f>
        <v>8146.4554707151465</v>
      </c>
      <c r="E78" s="34"/>
      <c r="F78" s="61">
        <f>IF(ISERROR(D78/B78),"n/a",D78/B78)</f>
        <v>0.35364270215079796</v>
      </c>
      <c r="G78" s="35"/>
      <c r="H78" s="56"/>
      <c r="I78" s="56"/>
      <c r="J78" s="36">
        <f>SUM(J74:J75)</f>
        <v>13894.554938631942</v>
      </c>
      <c r="K78" s="61">
        <f>IF(ISERROR(J78/B78),"n/a",J78/B78)</f>
        <v>0.60317127753834743</v>
      </c>
    </row>
    <row r="79" spans="1:11">
      <c r="A79" s="246" t="s">
        <v>97</v>
      </c>
      <c r="B79" s="34">
        <f>B77</f>
        <v>153720.97490605299</v>
      </c>
      <c r="C79" s="34"/>
      <c r="D79" s="36">
        <f>SUM(D78,D77)</f>
        <v>37810.933362392403</v>
      </c>
      <c r="E79" s="34"/>
      <c r="F79" s="61">
        <f>IF(ISERROR(D79/B79),"n/a",D79/B79)</f>
        <v>0.24597120455097726</v>
      </c>
      <c r="G79" s="31"/>
      <c r="H79" s="55"/>
      <c r="I79" s="55"/>
      <c r="J79" s="36">
        <f>SUM(J78,J77)</f>
        <v>64490.144551000994</v>
      </c>
      <c r="K79" s="61">
        <f>IF(ISERROR(J79/B79),"n/a",J79/B79)</f>
        <v>0.41952729346411138</v>
      </c>
    </row>
    <row r="80" spans="1:11">
      <c r="A80" s="5"/>
      <c r="B80" s="34"/>
      <c r="C80" s="34"/>
      <c r="D80" s="36"/>
      <c r="E80" s="34"/>
      <c r="F80" s="61"/>
      <c r="G80" s="31"/>
      <c r="H80" s="55"/>
      <c r="I80" s="55"/>
      <c r="J80" s="36"/>
      <c r="K80" s="61"/>
    </row>
    <row r="81" spans="1:14">
      <c r="A81" s="14" t="s">
        <v>775</v>
      </c>
      <c r="B81" s="34"/>
      <c r="C81" s="205"/>
      <c r="D81" s="36"/>
      <c r="E81" s="205"/>
      <c r="F81" s="61"/>
      <c r="G81" s="31"/>
      <c r="H81" s="39"/>
      <c r="I81" s="55"/>
      <c r="J81" s="36"/>
      <c r="K81" s="61"/>
    </row>
    <row r="82" spans="1:14">
      <c r="A82" s="60" t="s">
        <v>168</v>
      </c>
      <c r="B82" s="34"/>
      <c r="C82" s="205"/>
      <c r="D82" s="36"/>
      <c r="E82" s="205"/>
      <c r="F82" s="61"/>
      <c r="G82" s="31"/>
      <c r="H82" s="39"/>
      <c r="I82" s="55"/>
      <c r="J82" s="36"/>
      <c r="K82" s="61"/>
    </row>
    <row r="83" spans="1:14" ht="14">
      <c r="A83" s="246" t="s">
        <v>125</v>
      </c>
      <c r="B83" s="75">
        <f>SUM(B21,B52)</f>
        <v>0</v>
      </c>
      <c r="C83" s="212"/>
      <c r="D83" s="36">
        <f>SUM(D21,D52)</f>
        <v>0</v>
      </c>
      <c r="E83" s="212"/>
      <c r="F83" s="61" t="str">
        <f>IF(ISERROR(D83/B83),"n/a",D83/B83)</f>
        <v>n/a</v>
      </c>
      <c r="G83" s="31"/>
      <c r="H83" s="39"/>
      <c r="I83" s="55"/>
      <c r="J83" s="36">
        <f>SUM(J21,J52)</f>
        <v>0</v>
      </c>
      <c r="K83" s="61" t="str">
        <f>IF(ISERROR(J83/B83),"n/a",J83/B83)</f>
        <v>n/a</v>
      </c>
    </row>
    <row r="84" spans="1:14">
      <c r="A84" s="246" t="s">
        <v>287</v>
      </c>
      <c r="B84" s="75">
        <f>SUM(B22,B53)</f>
        <v>37638.159474359425</v>
      </c>
      <c r="C84" s="212"/>
      <c r="D84" s="36">
        <f>SUM(D22,D53)</f>
        <v>582.99217657852398</v>
      </c>
      <c r="E84" s="212"/>
      <c r="F84" s="61">
        <f>IF(ISERROR(D84/B84),"n/a",D84/B84)</f>
        <v>1.5489391211482614E-2</v>
      </c>
      <c r="G84" s="31"/>
      <c r="H84" s="39"/>
      <c r="I84" s="55"/>
      <c r="J84" s="36">
        <f>SUM(J22,J53)</f>
        <v>994.34862872353131</v>
      </c>
      <c r="K84" s="61">
        <f>IF(ISERROR(J84/B84),"n/a",J84/B84)</f>
        <v>2.6418630523124282E-2</v>
      </c>
    </row>
    <row r="85" spans="1:14" ht="5" customHeight="1">
      <c r="A85" s="66"/>
      <c r="B85" s="34"/>
      <c r="C85" s="205"/>
      <c r="D85" s="36"/>
      <c r="E85" s="205"/>
      <c r="F85" s="61"/>
      <c r="G85" s="31"/>
      <c r="H85" s="39"/>
      <c r="I85" s="55"/>
      <c r="J85" s="36"/>
      <c r="K85" s="61"/>
    </row>
    <row r="86" spans="1:14">
      <c r="A86" s="60" t="s">
        <v>171</v>
      </c>
      <c r="B86" s="34"/>
      <c r="C86" s="205"/>
      <c r="D86" s="36"/>
      <c r="E86" s="205"/>
      <c r="F86" s="61"/>
      <c r="G86" s="31"/>
      <c r="H86" s="39"/>
      <c r="I86" s="55"/>
      <c r="J86" s="36"/>
      <c r="K86" s="61"/>
    </row>
    <row r="87" spans="1:14" ht="14">
      <c r="A87" s="246" t="s">
        <v>125</v>
      </c>
      <c r="B87" s="75">
        <f>SUM(B25,B56)</f>
        <v>0</v>
      </c>
      <c r="C87" s="212"/>
      <c r="D87" s="36">
        <f>SUM(D25,D56)</f>
        <v>0</v>
      </c>
      <c r="E87" s="212"/>
      <c r="F87" s="61" t="str">
        <f>IF(ISERROR(D87/B87),"n/a",D87/B87)</f>
        <v>n/a</v>
      </c>
      <c r="G87" s="31"/>
      <c r="H87" s="39"/>
      <c r="I87" s="55"/>
      <c r="J87" s="36">
        <f>SUM(J25,J56)</f>
        <v>0</v>
      </c>
      <c r="K87" s="61" t="str">
        <f>IF(ISERROR(J87/B87),"n/a",J87/B87)</f>
        <v>n/a</v>
      </c>
    </row>
    <row r="88" spans="1:14">
      <c r="A88" s="246" t="s">
        <v>287</v>
      </c>
      <c r="B88" s="75">
        <f>SUM(B26,B57)</f>
        <v>37638.159474359425</v>
      </c>
      <c r="C88" s="212"/>
      <c r="D88" s="36">
        <f>SUM(D26,D57)</f>
        <v>10683.967938364751</v>
      </c>
      <c r="E88" s="212"/>
      <c r="F88" s="61">
        <f>IF(ISERROR(D88/B88),"n/a",D88/B88)</f>
        <v>0.2838599997335971</v>
      </c>
      <c r="G88" s="31"/>
      <c r="H88" s="39"/>
      <c r="I88" s="55"/>
      <c r="J88" s="36">
        <f>SUM(J26,J57)</f>
        <v>18222.523895924456</v>
      </c>
      <c r="K88" s="61">
        <f>IF(ISERROR(J88/B88),"n/a",J88/B88)</f>
        <v>0.48415023875804414</v>
      </c>
    </row>
    <row r="89" spans="1:14" ht="5" customHeight="1">
      <c r="A89" s="66"/>
      <c r="B89" s="34"/>
      <c r="C89" s="205"/>
      <c r="D89" s="36"/>
      <c r="E89" s="205"/>
      <c r="F89" s="61"/>
      <c r="G89" s="31"/>
      <c r="H89" s="39"/>
      <c r="I89" s="55"/>
      <c r="J89" s="36"/>
      <c r="K89" s="61"/>
    </row>
    <row r="90" spans="1:14">
      <c r="A90" s="246" t="s">
        <v>172</v>
      </c>
      <c r="B90" s="34">
        <f>SUM(B83:B84)</f>
        <v>37638.159474359425</v>
      </c>
      <c r="C90" s="205"/>
      <c r="D90" s="36">
        <f>SUM(D83:D84)</f>
        <v>582.99217657852398</v>
      </c>
      <c r="E90" s="205"/>
      <c r="F90" s="61">
        <f>IF(ISERROR(D90/B90),"n/a",D90/B90)</f>
        <v>1.5489391211482614E-2</v>
      </c>
      <c r="G90" s="31"/>
      <c r="H90" s="39"/>
      <c r="I90" s="55"/>
      <c r="J90" s="36">
        <f>SUM(J83:J84)</f>
        <v>994.34862872353131</v>
      </c>
      <c r="K90" s="61">
        <f>IF(ISERROR(J90/B90),"n/a",J90/B90)</f>
        <v>2.6418630523124282E-2</v>
      </c>
    </row>
    <row r="91" spans="1:14">
      <c r="A91" s="246" t="s">
        <v>173</v>
      </c>
      <c r="B91" s="34">
        <f>SUM(B87:B88)</f>
        <v>37638.159474359425</v>
      </c>
      <c r="C91" s="205"/>
      <c r="D91" s="36">
        <f>SUM(D87:D88)</f>
        <v>10683.967938364751</v>
      </c>
      <c r="E91" s="205"/>
      <c r="F91" s="61">
        <f>IF(ISERROR(D91/B91),"n/a",D91/B91)</f>
        <v>0.2838599997335971</v>
      </c>
      <c r="G91" s="31"/>
      <c r="H91" s="39"/>
      <c r="I91" s="55"/>
      <c r="J91" s="36">
        <f>SUM(J87:J88)</f>
        <v>18222.523895924456</v>
      </c>
      <c r="K91" s="61">
        <f>IF(ISERROR(J91/B91),"n/a",J91/B91)</f>
        <v>0.48415023875804414</v>
      </c>
    </row>
    <row r="92" spans="1:14">
      <c r="A92" s="246" t="s">
        <v>97</v>
      </c>
      <c r="B92" s="34">
        <f>B91</f>
        <v>37638.159474359425</v>
      </c>
      <c r="C92" s="205"/>
      <c r="D92" s="36">
        <f>SUM(D90:D91)</f>
        <v>11266.960114943275</v>
      </c>
      <c r="E92" s="205"/>
      <c r="F92" s="61">
        <f>IF(ISERROR(D92/B92),"n/a",D92/B92)</f>
        <v>0.29934939094507967</v>
      </c>
      <c r="G92" s="31"/>
      <c r="H92" s="39"/>
      <c r="I92" s="55"/>
      <c r="J92" s="36">
        <f>SUM(J90:J91)</f>
        <v>19216.872524647988</v>
      </c>
      <c r="K92" s="61">
        <f>IF(ISERROR(J92/B92),"n/a",J92/B92)</f>
        <v>0.5105688692811684</v>
      </c>
    </row>
    <row r="93" spans="1:14" hidden="1">
      <c r="A93" s="246"/>
      <c r="B93" s="34"/>
      <c r="C93" s="205"/>
      <c r="D93" s="36"/>
      <c r="E93" s="205"/>
      <c r="F93" s="61"/>
      <c r="G93" s="31"/>
      <c r="H93" s="39"/>
      <c r="I93" s="55"/>
      <c r="J93" s="36"/>
      <c r="K93" s="61"/>
    </row>
    <row r="94" spans="1:14" hidden="1">
      <c r="A94" s="246"/>
      <c r="B94" s="34"/>
      <c r="C94" s="205"/>
      <c r="D94" s="36"/>
      <c r="E94" s="205"/>
      <c r="F94" s="61"/>
      <c r="G94" s="31"/>
      <c r="H94" s="39"/>
      <c r="I94" s="55"/>
      <c r="J94" s="36"/>
      <c r="K94" s="61"/>
    </row>
    <row r="95" spans="1:14" hidden="1">
      <c r="B95" s="13" t="s">
        <v>188</v>
      </c>
      <c r="C95" s="13"/>
      <c r="D95" s="36"/>
      <c r="E95" s="205"/>
      <c r="F95" s="61"/>
      <c r="G95" s="31"/>
      <c r="H95" s="39"/>
      <c r="I95" s="55"/>
      <c r="J95" s="36"/>
      <c r="K95" s="61"/>
    </row>
    <row r="96" spans="1:14" hidden="1">
      <c r="B96" s="13" t="s">
        <v>189</v>
      </c>
      <c r="C96" s="13"/>
      <c r="D96" s="24">
        <f>SUM(D9,D13)</f>
        <v>34686.701475281356</v>
      </c>
      <c r="E96" s="24"/>
      <c r="F96" s="24">
        <f>'Table 3.20-CFS Non-CIOSS'!C91-'Table 3.20-CFS Non-CIOSS'!C94</f>
        <v>34686.701475281356</v>
      </c>
      <c r="G96" s="95"/>
      <c r="H96" s="94">
        <f>D96-F96</f>
        <v>0</v>
      </c>
      <c r="I96" s="4"/>
      <c r="J96" s="4"/>
      <c r="K96" s="24">
        <f>D40+D44</f>
        <v>3124.2318871110474</v>
      </c>
      <c r="L96" s="24">
        <f>'Table 3.21-CFS CIOSS Rejs'!C91-'Table 3.21-CFS CIOSS Rejs'!C94</f>
        <v>3124.2318871110474</v>
      </c>
      <c r="M96" s="94">
        <f>K96-L96</f>
        <v>0</v>
      </c>
      <c r="N96" s="261"/>
    </row>
    <row r="97" spans="1:14" hidden="1">
      <c r="B97" s="13" t="s">
        <v>190</v>
      </c>
      <c r="C97" s="13"/>
      <c r="D97" s="24">
        <f>SUM(D96:D96)</f>
        <v>34686.701475281356</v>
      </c>
      <c r="E97" s="24"/>
      <c r="F97" s="24">
        <f>SUM(F96:F96)</f>
        <v>34686.701475281356</v>
      </c>
      <c r="G97" s="95"/>
      <c r="H97" s="94">
        <f>D97-F97</f>
        <v>0</v>
      </c>
      <c r="I97" s="4"/>
      <c r="J97" s="4"/>
      <c r="K97" s="24">
        <f>SUM(K96:K96)</f>
        <v>3124.2318871110474</v>
      </c>
      <c r="L97" s="24">
        <f>SUM(L96:L96)</f>
        <v>3124.2318871110474</v>
      </c>
      <c r="M97" s="94">
        <f>K97-L97</f>
        <v>0</v>
      </c>
      <c r="N97" s="261"/>
    </row>
    <row r="98" spans="1:14" hidden="1">
      <c r="B98" s="4"/>
      <c r="C98" s="4"/>
      <c r="D98" s="4"/>
      <c r="E98" s="4"/>
      <c r="F98" s="4"/>
      <c r="G98" s="4"/>
      <c r="H98" s="4"/>
      <c r="I98" s="4"/>
      <c r="J98" s="4"/>
      <c r="K98" s="4"/>
    </row>
    <row r="99" spans="1:14" hidden="1">
      <c r="A99" s="243" t="s">
        <v>193</v>
      </c>
      <c r="B99" s="102">
        <f>SUM(B8:B9)-SUM('Table 3.20-CFS Non-CIOSS'!B9,'Table 3.20-CFS Non-CIOSS'!B14,'Table 3.20-CFS Non-CIOSS'!B19)</f>
        <v>0</v>
      </c>
      <c r="C99" s="257"/>
      <c r="D99" s="4"/>
      <c r="E99" s="4"/>
      <c r="F99" s="4"/>
      <c r="G99" s="4"/>
      <c r="H99" s="4"/>
      <c r="I99" s="4"/>
      <c r="J99" s="102">
        <f>SUM(B39:B40)-SUM('Table 3.21-CFS CIOSS Rejs'!B9,'Table 3.21-CFS CIOSS Rejs'!B14,'Table 3.21-CFS CIOSS Rejs'!B19)</f>
        <v>0</v>
      </c>
      <c r="K99" s="4"/>
    </row>
    <row r="100" spans="1:14" hidden="1">
      <c r="A100" s="243" t="s">
        <v>201</v>
      </c>
      <c r="B100" s="102">
        <f>SUM(B12:B13)-SUM('Table 3.20-CFS Non-CIOSS'!B25,'Table 3.20-CFS Non-CIOSS'!B30,'Table 3.20-CFS Non-CIOSS'!B35)</f>
        <v>0</v>
      </c>
      <c r="C100" s="257"/>
      <c r="D100" s="4"/>
      <c r="E100" s="4"/>
      <c r="F100" s="4"/>
      <c r="G100" s="4"/>
      <c r="H100" s="4"/>
      <c r="I100" s="4"/>
      <c r="J100" s="102">
        <f>SUM(B43:B44)-SUM('Table 3.21-CFS CIOSS Rejs'!B25,'Table 3.21-CFS CIOSS Rejs'!B30,'Table 3.21-CFS CIOSS Rejs'!B35)</f>
        <v>0</v>
      </c>
    </row>
    <row r="101" spans="1:14" hidden="1">
      <c r="A101" s="243"/>
      <c r="B101" s="257"/>
      <c r="C101" s="257"/>
      <c r="D101" s="4"/>
      <c r="E101" s="4"/>
      <c r="F101" s="4"/>
      <c r="G101" s="4"/>
      <c r="H101" s="4"/>
      <c r="I101" s="4"/>
      <c r="J101" s="4"/>
    </row>
    <row r="102" spans="1:14" hidden="1">
      <c r="A102" s="243"/>
      <c r="B102" s="255" t="s">
        <v>296</v>
      </c>
      <c r="C102" s="257"/>
      <c r="D102" s="24">
        <f>D21+D25</f>
        <v>0</v>
      </c>
      <c r="E102" s="24"/>
      <c r="F102" s="24">
        <v>0</v>
      </c>
      <c r="G102" s="4"/>
      <c r="H102" s="94">
        <f>D102-F102</f>
        <v>0</v>
      </c>
      <c r="I102" s="4"/>
      <c r="J102" s="4"/>
      <c r="K102" s="24">
        <f>D52+D56</f>
        <v>0</v>
      </c>
      <c r="M102" s="94">
        <f>K102-L102</f>
        <v>0</v>
      </c>
    </row>
    <row r="103" spans="1:14" hidden="1">
      <c r="A103" s="243"/>
      <c r="B103" s="255" t="s">
        <v>297</v>
      </c>
      <c r="C103" s="257"/>
      <c r="D103" s="24">
        <f>D22+D26</f>
        <v>8661.5252257887769</v>
      </c>
      <c r="E103" s="24"/>
      <c r="F103" s="24">
        <v>8661.5252257887751</v>
      </c>
      <c r="G103" s="4"/>
      <c r="H103" s="94">
        <f>D103-F103</f>
        <v>0</v>
      </c>
      <c r="I103" s="4"/>
      <c r="J103" s="4"/>
      <c r="K103" s="24">
        <f>D53+D57</f>
        <v>2605.4348891544987</v>
      </c>
      <c r="L103" s="24">
        <v>2605.4348891544987</v>
      </c>
      <c r="M103" s="94">
        <f>K103-L103</f>
        <v>0</v>
      </c>
    </row>
    <row r="104" spans="1:14" hidden="1">
      <c r="A104" s="243"/>
      <c r="B104" s="255" t="s">
        <v>298</v>
      </c>
      <c r="C104" s="257"/>
      <c r="D104" s="24">
        <f>D30</f>
        <v>8661.5252257887769</v>
      </c>
      <c r="E104" s="24"/>
      <c r="F104" s="24">
        <v>8661.5252257887751</v>
      </c>
      <c r="G104" s="4"/>
      <c r="H104" s="94">
        <f>D104-F104</f>
        <v>0</v>
      </c>
      <c r="I104" s="4"/>
      <c r="J104" s="4"/>
      <c r="K104" s="24">
        <f>SUM(K102:K103)</f>
        <v>2605.4348891544987</v>
      </c>
      <c r="L104" s="24">
        <f>SUM(L102:L103)</f>
        <v>2605.4348891544987</v>
      </c>
      <c r="M104" s="94">
        <f>K104-L104</f>
        <v>0</v>
      </c>
    </row>
    <row r="105" spans="1:14" hidden="1">
      <c r="A105" s="243"/>
      <c r="B105" s="255"/>
      <c r="C105" s="257"/>
      <c r="D105" s="24"/>
      <c r="E105" s="24"/>
      <c r="F105" s="24"/>
      <c r="G105" s="4"/>
      <c r="H105" s="254"/>
      <c r="I105" s="4"/>
      <c r="J105" s="4"/>
      <c r="K105" s="4"/>
    </row>
    <row r="106" spans="1:14" hidden="1">
      <c r="A106" s="255" t="s">
        <v>301</v>
      </c>
      <c r="B106" s="253">
        <f>B21-'Table 3.20-CFS Non-CIOSS'!B69-'Table 3.20-CFS Non-CIOSS'!B74</f>
        <v>0</v>
      </c>
      <c r="C106" s="257"/>
      <c r="D106" s="24"/>
      <c r="E106" s="24"/>
      <c r="F106" s="24"/>
      <c r="G106" s="4"/>
      <c r="H106" s="94">
        <f>B52-'Table 3.21-CFS CIOSS Rejs'!B69-'Table 3.21-CFS CIOSS Rejs'!B74</f>
        <v>0</v>
      </c>
      <c r="I106" s="4"/>
      <c r="J106" s="4"/>
      <c r="K106" s="4"/>
    </row>
    <row r="107" spans="1:14" hidden="1">
      <c r="A107" s="255" t="s">
        <v>299</v>
      </c>
      <c r="B107" s="253">
        <f>B22-'Table 3.20-CFS Non-CIOSS'!B70-'Table 3.20-CFS Non-CIOSS'!B75</f>
        <v>0</v>
      </c>
      <c r="C107" s="257"/>
      <c r="D107" s="24"/>
      <c r="E107" s="24"/>
      <c r="F107" s="24"/>
      <c r="G107" s="4"/>
      <c r="H107" s="94">
        <f>B53-'Table 3.21-CFS CIOSS Rejs'!B70-'Table 3.21-CFS CIOSS Rejs'!B75</f>
        <v>0</v>
      </c>
      <c r="I107" s="4"/>
      <c r="J107" s="4"/>
      <c r="K107" s="4"/>
    </row>
    <row r="108" spans="1:14" hidden="1">
      <c r="A108" s="255" t="s">
        <v>300</v>
      </c>
      <c r="B108" s="253">
        <f>B30-'Table 3.20-CFS Non-CIOSS'!B71-'Table 3.20-CFS Non-CIOSS'!B76</f>
        <v>0</v>
      </c>
      <c r="C108" s="4"/>
      <c r="D108" s="4"/>
      <c r="E108" s="4"/>
      <c r="F108" s="4"/>
      <c r="G108" s="4"/>
      <c r="H108" s="94">
        <f>B61-'Table 3.21-CFS CIOSS Rejs'!B71-'Table 3.21-CFS CIOSS Rejs'!B76</f>
        <v>0</v>
      </c>
      <c r="I108" s="4"/>
      <c r="J108" s="4"/>
      <c r="K108" s="4"/>
    </row>
    <row r="109" spans="1:14" hidden="1">
      <c r="A109" s="255"/>
      <c r="B109" s="255"/>
      <c r="C109" s="4"/>
      <c r="D109" s="4"/>
      <c r="E109" s="4"/>
      <c r="F109" s="4"/>
      <c r="G109" s="4"/>
      <c r="H109" s="254"/>
      <c r="I109" s="4"/>
      <c r="J109" s="4"/>
      <c r="K109" s="4"/>
    </row>
    <row r="110" spans="1:14" hidden="1">
      <c r="A110" s="255" t="s">
        <v>430</v>
      </c>
      <c r="B110" s="253">
        <v>0</v>
      </c>
      <c r="C110" s="4"/>
      <c r="D110" s="253">
        <v>0</v>
      </c>
      <c r="E110" s="4"/>
      <c r="F110" s="4"/>
      <c r="G110" s="4"/>
      <c r="H110" s="254"/>
      <c r="I110" s="4"/>
      <c r="J110" s="4"/>
      <c r="K110" s="4"/>
    </row>
    <row r="111" spans="1:14" hidden="1">
      <c r="A111" s="255" t="s">
        <v>431</v>
      </c>
      <c r="B111" s="253">
        <v>0</v>
      </c>
      <c r="C111" s="255"/>
      <c r="D111" s="253">
        <v>0</v>
      </c>
      <c r="E111" s="4"/>
      <c r="F111" s="4"/>
      <c r="G111" s="4"/>
      <c r="H111" s="254"/>
      <c r="I111" s="4"/>
      <c r="J111" s="4"/>
      <c r="K111" s="4"/>
    </row>
    <row r="112" spans="1:14">
      <c r="A112" s="256"/>
      <c r="B112" s="103"/>
      <c r="C112" s="103"/>
      <c r="D112" s="103"/>
      <c r="E112" s="103"/>
      <c r="F112" s="103"/>
      <c r="G112" s="4"/>
      <c r="H112" s="4"/>
      <c r="I112" s="4"/>
      <c r="J112" s="4"/>
      <c r="K112" s="4"/>
    </row>
    <row r="113" spans="1:11">
      <c r="A113" s="4" t="s">
        <v>230</v>
      </c>
      <c r="B113" s="4"/>
      <c r="C113" s="4"/>
      <c r="D113" s="4"/>
      <c r="E113" s="4"/>
      <c r="F113" s="4"/>
      <c r="G113" s="4"/>
      <c r="H113" s="4"/>
      <c r="I113" s="4"/>
      <c r="J113" s="4"/>
      <c r="K113" s="4"/>
    </row>
    <row r="114" spans="1:11">
      <c r="A114" s="17" t="s">
        <v>781</v>
      </c>
      <c r="B114" s="4"/>
      <c r="C114" s="4"/>
      <c r="D114" s="4"/>
      <c r="E114" s="4"/>
      <c r="F114" s="4"/>
      <c r="G114" s="4"/>
      <c r="H114" s="4"/>
      <c r="I114" s="4"/>
      <c r="J114" s="4"/>
      <c r="K114" s="4"/>
    </row>
    <row r="115" spans="1:11">
      <c r="A115" s="17" t="s">
        <v>642</v>
      </c>
      <c r="B115" s="4"/>
      <c r="C115" s="4"/>
      <c r="D115" s="4"/>
      <c r="E115" s="4"/>
      <c r="F115" s="4"/>
      <c r="G115" s="4"/>
      <c r="H115" s="4"/>
      <c r="I115" s="4"/>
      <c r="J115" s="4"/>
      <c r="K115" s="4"/>
    </row>
    <row r="116" spans="1:11">
      <c r="A116" s="17" t="s">
        <v>794</v>
      </c>
      <c r="B116" s="4"/>
      <c r="C116" s="4"/>
      <c r="D116" s="4"/>
      <c r="E116" s="4"/>
      <c r="F116" s="4"/>
      <c r="G116" s="4"/>
      <c r="H116" s="4"/>
      <c r="I116" s="4"/>
      <c r="J116" s="4"/>
      <c r="K116" s="4"/>
    </row>
    <row r="117" spans="1:11">
      <c r="A117" s="17" t="s">
        <v>88</v>
      </c>
      <c r="B117" s="4"/>
      <c r="C117" s="4"/>
      <c r="D117" s="4"/>
      <c r="E117" s="4"/>
      <c r="F117" s="4"/>
      <c r="G117" s="4"/>
      <c r="H117" s="4"/>
      <c r="I117" s="4"/>
      <c r="J117" s="4"/>
      <c r="K117" s="4"/>
    </row>
    <row r="118" spans="1:11">
      <c r="B118" s="4"/>
      <c r="C118" s="4"/>
      <c r="D118" s="4"/>
      <c r="E118" s="4"/>
      <c r="F118" s="4"/>
      <c r="G118" s="4"/>
      <c r="H118" s="4"/>
      <c r="I118" s="4"/>
      <c r="J118" s="4"/>
      <c r="K118" s="4"/>
    </row>
    <row r="119" spans="1:11">
      <c r="B119" s="4"/>
      <c r="C119" s="4"/>
      <c r="D119" s="4"/>
      <c r="E119" s="4"/>
      <c r="F119" s="4"/>
      <c r="G119" s="4"/>
      <c r="H119" s="4"/>
      <c r="I119" s="4"/>
      <c r="J119" s="4"/>
      <c r="K119" s="4"/>
    </row>
    <row r="120" spans="1:11">
      <c r="B120" s="4"/>
      <c r="C120" s="4"/>
      <c r="D120" s="4"/>
      <c r="E120" s="4"/>
      <c r="F120" s="4"/>
      <c r="G120" s="4"/>
      <c r="H120" s="4"/>
      <c r="I120" s="4"/>
      <c r="J120" s="4"/>
      <c r="K120" s="4"/>
    </row>
    <row r="121" spans="1:11">
      <c r="B121" s="4"/>
      <c r="C121" s="4"/>
      <c r="D121" s="4"/>
      <c r="E121" s="4"/>
      <c r="F121" s="4"/>
      <c r="G121" s="4"/>
      <c r="H121" s="4"/>
      <c r="I121" s="4"/>
      <c r="J121" s="4"/>
      <c r="K121" s="4"/>
    </row>
    <row r="122" spans="1:11">
      <c r="B122" s="4"/>
      <c r="C122" s="4"/>
      <c r="D122" s="4"/>
      <c r="E122" s="4"/>
      <c r="F122" s="4"/>
      <c r="G122" s="4"/>
      <c r="H122" s="4"/>
      <c r="I122" s="4"/>
      <c r="J122" s="4"/>
      <c r="K122" s="4"/>
    </row>
    <row r="123" spans="1:11">
      <c r="B123" s="4"/>
      <c r="C123" s="4"/>
      <c r="D123" s="4"/>
      <c r="E123" s="4"/>
      <c r="F123" s="4"/>
      <c r="G123" s="4"/>
      <c r="H123" s="4"/>
      <c r="I123" s="4"/>
      <c r="J123" s="4"/>
      <c r="K123" s="4"/>
    </row>
    <row r="124" spans="1:11">
      <c r="B124" s="4"/>
      <c r="C124" s="4"/>
      <c r="D124" s="4"/>
      <c r="E124" s="4"/>
      <c r="F124" s="4"/>
      <c r="G124" s="4"/>
      <c r="H124" s="4"/>
      <c r="I124" s="4"/>
      <c r="J124" s="4"/>
      <c r="K124" s="4"/>
    </row>
    <row r="125" spans="1:11">
      <c r="B125" s="4"/>
      <c r="C125" s="4"/>
      <c r="D125" s="4"/>
      <c r="E125" s="4"/>
      <c r="F125" s="4"/>
      <c r="G125" s="4"/>
      <c r="H125" s="4"/>
      <c r="I125" s="4"/>
      <c r="J125" s="4"/>
      <c r="K125" s="4"/>
    </row>
    <row r="126" spans="1:11">
      <c r="B126" s="4"/>
      <c r="C126" s="4"/>
      <c r="D126" s="4"/>
      <c r="E126" s="4"/>
      <c r="F126" s="4"/>
      <c r="G126" s="4"/>
      <c r="H126" s="4"/>
      <c r="I126" s="4"/>
      <c r="J126" s="4"/>
      <c r="K126" s="4"/>
    </row>
    <row r="127" spans="1:11">
      <c r="B127" s="4"/>
      <c r="C127" s="4"/>
      <c r="D127" s="4"/>
      <c r="E127" s="4"/>
      <c r="F127" s="4"/>
      <c r="G127" s="4"/>
      <c r="H127" s="4"/>
      <c r="I127" s="4"/>
      <c r="J127" s="4"/>
      <c r="K127" s="4"/>
    </row>
    <row r="128" spans="1:11">
      <c r="B128" s="4"/>
      <c r="C128" s="4"/>
      <c r="D128" s="4"/>
      <c r="E128" s="4"/>
      <c r="F128" s="4"/>
      <c r="G128" s="4"/>
      <c r="H128" s="4"/>
      <c r="I128" s="4"/>
      <c r="J128" s="4"/>
      <c r="K128" s="4"/>
    </row>
    <row r="129" s="4" customFormat="1"/>
    <row r="130" s="4" customFormat="1"/>
    <row r="131" s="4" customFormat="1"/>
    <row r="132" s="4" customFormat="1"/>
    <row r="133" s="4" customFormat="1"/>
    <row r="134" s="4" customFormat="1"/>
    <row r="135" s="4" customFormat="1"/>
    <row r="136" s="4" customFormat="1"/>
  </sheetData>
  <phoneticPr fontId="0" type="noConversion"/>
  <printOptions horizontalCentered="1"/>
  <pageMargins left="0.75" right="0.75" top="1" bottom="1" header="0.5" footer="0.5"/>
  <pageSetup fitToHeight="3" orientation="landscape" r:id="rId1"/>
  <headerFooter alignWithMargins="0">
    <oddFooter>&amp;L&amp;F</oddFooter>
  </headerFooter>
  <rowBreaks count="2" manualBreakCount="2">
    <brk id="31" max="10" man="1"/>
    <brk id="62"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P125"/>
  <sheetViews>
    <sheetView zoomScale="70" zoomScaleNormal="70" workbookViewId="0"/>
  </sheetViews>
  <sheetFormatPr baseColWidth="10" defaultColWidth="8.83203125" defaultRowHeight="13"/>
  <cols>
    <col min="1" max="1" width="29.5" customWidth="1"/>
    <col min="2" max="4" width="11.5" customWidth="1"/>
    <col min="5" max="5" width="2.5" customWidth="1"/>
    <col min="6" max="6" width="11.5" customWidth="1"/>
    <col min="7" max="7" width="2.5" customWidth="1"/>
    <col min="8" max="9" width="11.5" customWidth="1"/>
    <col min="11" max="11" width="9.5" bestFit="1" customWidth="1"/>
  </cols>
  <sheetData>
    <row r="1" spans="1:11" ht="15.75" customHeight="1">
      <c r="A1" s="117" t="s">
        <v>553</v>
      </c>
    </row>
    <row r="2" spans="1:11" ht="15.75" customHeight="1">
      <c r="A2" s="117" t="s">
        <v>780</v>
      </c>
    </row>
    <row r="3" spans="1:11" ht="28">
      <c r="B3" s="125" t="s">
        <v>245</v>
      </c>
      <c r="C3" s="138" t="s">
        <v>244</v>
      </c>
      <c r="D3" s="8" t="s">
        <v>99</v>
      </c>
      <c r="E3" s="8"/>
      <c r="F3" s="142" t="s">
        <v>241</v>
      </c>
      <c r="G3" s="65"/>
      <c r="H3" s="119" t="s">
        <v>213</v>
      </c>
      <c r="I3" s="31" t="s">
        <v>128</v>
      </c>
      <c r="J3" s="4"/>
    </row>
    <row r="4" spans="1:11">
      <c r="A4" s="14" t="s">
        <v>286</v>
      </c>
      <c r="B4" s="125"/>
      <c r="C4" s="138"/>
      <c r="D4" s="8"/>
      <c r="E4" s="8"/>
      <c r="F4" s="142"/>
      <c r="G4" s="65"/>
      <c r="H4" s="119"/>
      <c r="I4" s="31"/>
      <c r="J4" s="4"/>
    </row>
    <row r="5" spans="1:11" ht="12.75" customHeight="1">
      <c r="A5" s="66" t="s">
        <v>169</v>
      </c>
      <c r="B5" s="125"/>
      <c r="C5" s="138"/>
      <c r="D5" s="8"/>
      <c r="E5" s="8"/>
      <c r="F5" s="65"/>
      <c r="G5" s="65"/>
      <c r="H5" s="119"/>
      <c r="I5" s="31"/>
      <c r="J5" s="4"/>
    </row>
    <row r="6" spans="1:11">
      <c r="A6" s="59" t="s">
        <v>273</v>
      </c>
      <c r="C6" s="29"/>
      <c r="D6" s="3"/>
      <c r="E6" s="3"/>
      <c r="F6" s="54"/>
      <c r="G6" s="54"/>
      <c r="H6" s="3"/>
      <c r="I6" s="3"/>
      <c r="J6" s="4"/>
    </row>
    <row r="7" spans="1:11" ht="14">
      <c r="A7" s="251" t="s">
        <v>125</v>
      </c>
      <c r="B7" s="75">
        <v>0</v>
      </c>
      <c r="C7" s="36">
        <v>0</v>
      </c>
      <c r="D7" s="61" t="str">
        <f>IF(ISERROR(C7/B7),"n/a",C7/B7)</f>
        <v>n/a</v>
      </c>
      <c r="E7" s="31"/>
      <c r="F7" s="39">
        <v>1.7055951497654467</v>
      </c>
      <c r="G7" s="55"/>
      <c r="H7" s="32">
        <f>C7*F7</f>
        <v>0</v>
      </c>
      <c r="I7" s="61" t="str">
        <f>IF(ISERROR(H7/B7),"n/a",H7/B7)</f>
        <v>n/a</v>
      </c>
      <c r="J7" s="4"/>
      <c r="K7" s="252"/>
    </row>
    <row r="8" spans="1:11">
      <c r="A8" s="250" t="s">
        <v>287</v>
      </c>
      <c r="B8" s="75">
        <v>18572.748101751124</v>
      </c>
      <c r="C8" s="36">
        <v>3571.7389737550307</v>
      </c>
      <c r="D8" s="61">
        <f>IF(ISERROR(C8/B8),"n/a",C8/B8)</f>
        <v>0.19231074228688164</v>
      </c>
      <c r="E8" s="31"/>
      <c r="F8" s="39">
        <v>1.7055951497654467</v>
      </c>
      <c r="G8" s="55"/>
      <c r="H8" s="32">
        <f>C8*F8</f>
        <v>6091.9406698647945</v>
      </c>
      <c r="I8" s="61">
        <f>IF(ISERROR(H8/B8),"n/a",H8/B8)</f>
        <v>0.32800426929229815</v>
      </c>
      <c r="J8" s="4"/>
    </row>
    <row r="9" spans="1:11">
      <c r="A9" s="251" t="s">
        <v>97</v>
      </c>
      <c r="B9" s="75">
        <f>SUM(B7:B8)</f>
        <v>18572.748101751124</v>
      </c>
      <c r="C9" s="108">
        <f>SUM(C7:C8)</f>
        <v>3571.7389737550307</v>
      </c>
      <c r="D9" s="61">
        <f>IF(ISERROR(C9/B9),"n/a",C9/B9)</f>
        <v>0.19231074228688164</v>
      </c>
      <c r="E9" s="31"/>
      <c r="F9" s="39"/>
      <c r="G9" s="20"/>
      <c r="H9" s="32">
        <f>SUM(H7:H8)</f>
        <v>6091.9406698647945</v>
      </c>
      <c r="I9" s="61">
        <f>H9/B9</f>
        <v>0.32800426929229815</v>
      </c>
      <c r="J9" s="4"/>
    </row>
    <row r="10" spans="1:11" ht="5" customHeight="1">
      <c r="A10" s="60"/>
      <c r="B10" s="75"/>
      <c r="C10" s="108"/>
      <c r="D10" s="61"/>
      <c r="E10" s="31"/>
      <c r="F10" s="39"/>
      <c r="G10" s="20"/>
      <c r="H10" s="32"/>
      <c r="I10" s="61"/>
      <c r="J10" s="4"/>
    </row>
    <row r="11" spans="1:11">
      <c r="A11" s="59" t="s">
        <v>269</v>
      </c>
      <c r="B11" s="13"/>
      <c r="C11" s="36"/>
      <c r="D11" s="61"/>
      <c r="E11" s="31"/>
      <c r="F11" s="55"/>
      <c r="G11" s="55"/>
      <c r="H11" s="32"/>
      <c r="I11" s="61"/>
      <c r="J11" s="4"/>
    </row>
    <row r="12" spans="1:11" ht="14">
      <c r="A12" s="251" t="s">
        <v>125</v>
      </c>
      <c r="B12" s="75">
        <v>0</v>
      </c>
      <c r="C12" s="36">
        <v>0</v>
      </c>
      <c r="D12" s="61" t="str">
        <f>IF(ISERROR(C12/B12),"n/a",C12/B12)</f>
        <v>n/a</v>
      </c>
      <c r="E12" s="31"/>
      <c r="F12" s="39">
        <v>1.7055951497654467</v>
      </c>
      <c r="G12" s="20"/>
      <c r="H12" s="32">
        <f>C12*F12</f>
        <v>0</v>
      </c>
      <c r="I12" s="61" t="str">
        <f>IF(ISERROR(H12/B12),"n/a",H12/B12)</f>
        <v>n/a</v>
      </c>
      <c r="J12" s="4"/>
    </row>
    <row r="13" spans="1:11">
      <c r="A13" s="250" t="s">
        <v>287</v>
      </c>
      <c r="B13" s="75">
        <v>59033.920457764696</v>
      </c>
      <c r="C13" s="36">
        <v>11455.140165768555</v>
      </c>
      <c r="D13" s="61">
        <f>IF(ISERROR(C13/B13),"n/a",C13/B13)</f>
        <v>0.19404335807180612</v>
      </c>
      <c r="E13" s="31"/>
      <c r="F13" s="39">
        <v>1.7055951497654467</v>
      </c>
      <c r="G13" s="20"/>
      <c r="H13" s="32">
        <f>C13*F13</f>
        <v>19537.8315066182</v>
      </c>
      <c r="I13" s="61">
        <f>IF(ISERROR(H13/B13),"n/a",H13/B13)</f>
        <v>0.33095941037147231</v>
      </c>
      <c r="J13" s="4"/>
    </row>
    <row r="14" spans="1:11">
      <c r="A14" s="251" t="s">
        <v>97</v>
      </c>
      <c r="B14" s="75">
        <f>SUM(B12:B13)</f>
        <v>59033.920457764696</v>
      </c>
      <c r="C14" s="108">
        <f>SUM(C12:C13)</f>
        <v>11455.140165768555</v>
      </c>
      <c r="D14" s="61">
        <f>IF(ISERROR(C14/B14),"n/a",C14/B14)</f>
        <v>0.19404335807180612</v>
      </c>
      <c r="E14" s="31"/>
      <c r="F14" s="39"/>
      <c r="G14" s="20"/>
      <c r="H14" s="32">
        <f>SUM(H12:H13)</f>
        <v>19537.8315066182</v>
      </c>
      <c r="I14" s="61">
        <f>H14/B14</f>
        <v>0.33095941037147231</v>
      </c>
      <c r="J14" s="4"/>
    </row>
    <row r="15" spans="1:11" ht="5" customHeight="1">
      <c r="A15" s="60"/>
      <c r="B15" s="75"/>
      <c r="C15" s="108"/>
      <c r="D15" s="61"/>
      <c r="E15" s="31"/>
      <c r="F15" s="39"/>
      <c r="G15" s="20"/>
      <c r="H15" s="32"/>
      <c r="I15" s="61"/>
      <c r="J15" s="4"/>
    </row>
    <row r="16" spans="1:11">
      <c r="A16" s="59" t="s">
        <v>274</v>
      </c>
      <c r="B16" s="75"/>
      <c r="C16" s="36"/>
      <c r="D16" s="63"/>
      <c r="E16" s="63"/>
      <c r="F16" s="39"/>
      <c r="G16" s="39"/>
      <c r="H16" s="36"/>
      <c r="I16" s="63"/>
      <c r="J16" s="4"/>
    </row>
    <row r="17" spans="1:10" ht="14">
      <c r="A17" s="251" t="s">
        <v>125</v>
      </c>
      <c r="B17" s="75">
        <v>0</v>
      </c>
      <c r="C17" s="36">
        <v>0</v>
      </c>
      <c r="D17" s="61" t="str">
        <f>IF(ISERROR(C17/B17),"n/a",C17/B17)</f>
        <v>n/a</v>
      </c>
      <c r="E17" s="31"/>
      <c r="F17" s="39">
        <v>1.7055951497654467</v>
      </c>
      <c r="G17" s="39"/>
      <c r="H17" s="32">
        <f>C17*F17</f>
        <v>0</v>
      </c>
      <c r="I17" s="61" t="str">
        <f>IF(ISERROR(H17/B17),"n/a",H17/B17)</f>
        <v>n/a</v>
      </c>
      <c r="J17" s="4"/>
    </row>
    <row r="18" spans="1:10">
      <c r="A18" s="250" t="s">
        <v>287</v>
      </c>
      <c r="B18" s="75">
        <v>65556.920187931813</v>
      </c>
      <c r="C18" s="36">
        <v>12607.299983383025</v>
      </c>
      <c r="D18" s="61">
        <f>IF(ISERROR(C18/B18),"n/a",C18/B18)</f>
        <v>0.19231074228688166</v>
      </c>
      <c r="E18" s="31"/>
      <c r="F18" s="39">
        <v>1.7055951497654467</v>
      </c>
      <c r="G18" s="39"/>
      <c r="H18" s="32">
        <f>C18*F18</f>
        <v>21502.949703296086</v>
      </c>
      <c r="I18" s="61">
        <f>IF(ISERROR(H18/B18),"n/a",H18/B18)</f>
        <v>0.3280042692922982</v>
      </c>
      <c r="J18" s="4"/>
    </row>
    <row r="19" spans="1:10">
      <c r="A19" s="251" t="s">
        <v>97</v>
      </c>
      <c r="B19" s="75">
        <f>SUM(B17:B18)</f>
        <v>65556.920187931813</v>
      </c>
      <c r="C19" s="108">
        <f>SUM(C17:C18)</f>
        <v>12607.299983383025</v>
      </c>
      <c r="D19" s="61">
        <f>IF(ISERROR(C19/B19),"n/a",C19/B19)</f>
        <v>0.19231074228688166</v>
      </c>
      <c r="E19" s="31"/>
      <c r="F19" s="39"/>
      <c r="G19" s="20"/>
      <c r="H19" s="32">
        <f>SUM(H17:H18)</f>
        <v>21502.949703296086</v>
      </c>
      <c r="I19" s="61">
        <f>H19/B19</f>
        <v>0.3280042692922982</v>
      </c>
      <c r="J19" s="4"/>
    </row>
    <row r="20" spans="1:10">
      <c r="A20" s="4"/>
      <c r="B20" s="75"/>
      <c r="C20" s="108"/>
      <c r="D20" s="61"/>
      <c r="E20" s="31"/>
      <c r="F20" s="39"/>
      <c r="G20" s="20"/>
      <c r="H20" s="32"/>
      <c r="I20" s="61"/>
      <c r="J20" s="4"/>
    </row>
    <row r="21" spans="1:10">
      <c r="A21" s="66" t="s">
        <v>170</v>
      </c>
      <c r="B21" s="13"/>
      <c r="C21" s="36"/>
      <c r="D21" s="63"/>
      <c r="E21" s="35"/>
      <c r="F21" s="56"/>
      <c r="G21" s="56"/>
      <c r="H21" s="36"/>
      <c r="I21" s="63"/>
      <c r="J21" s="4"/>
    </row>
    <row r="22" spans="1:10">
      <c r="A22" s="59" t="s">
        <v>273</v>
      </c>
      <c r="B22" s="20"/>
      <c r="C22" s="36"/>
      <c r="D22" s="63"/>
      <c r="E22" s="20"/>
      <c r="F22" s="20"/>
      <c r="G22" s="20"/>
      <c r="H22" s="36"/>
      <c r="I22" s="63"/>
      <c r="J22" s="4"/>
    </row>
    <row r="23" spans="1:10" ht="14">
      <c r="A23" s="251" t="s">
        <v>125</v>
      </c>
      <c r="B23" s="75">
        <v>0</v>
      </c>
      <c r="C23" s="36">
        <f>D23*B23</f>
        <v>0</v>
      </c>
      <c r="D23" s="61">
        <v>0</v>
      </c>
      <c r="E23" s="31"/>
      <c r="F23" s="39">
        <v>1.7055951497654467</v>
      </c>
      <c r="G23" s="20"/>
      <c r="H23" s="32">
        <f>C23*F23</f>
        <v>0</v>
      </c>
      <c r="I23" s="61" t="str">
        <f>IF(ISERROR(H23/B23),"n/a",H23/B23)</f>
        <v>n/a</v>
      </c>
      <c r="J23" s="4"/>
    </row>
    <row r="24" spans="1:10">
      <c r="A24" s="250" t="s">
        <v>287</v>
      </c>
      <c r="B24" s="75">
        <v>4467.6497075545585</v>
      </c>
      <c r="C24" s="36">
        <f>D24*B24</f>
        <v>1579.9517148428172</v>
      </c>
      <c r="D24" s="61">
        <v>0.35364270215079813</v>
      </c>
      <c r="E24" s="31"/>
      <c r="F24" s="39">
        <v>1.7055951497654467</v>
      </c>
      <c r="G24" s="20"/>
      <c r="H24" s="32">
        <f>C24*F24</f>
        <v>2694.7579816995089</v>
      </c>
      <c r="I24" s="61">
        <f>IF(ISERROR(H24/B24),"n/a",H24/B24)</f>
        <v>0.60317127753834776</v>
      </c>
      <c r="J24" s="4"/>
    </row>
    <row r="25" spans="1:10">
      <c r="A25" s="251" t="s">
        <v>97</v>
      </c>
      <c r="B25" s="75">
        <f>SUM(B23:B24)</f>
        <v>4467.6497075545585</v>
      </c>
      <c r="C25" s="108">
        <f>SUM(C23:C24)</f>
        <v>1579.9517148428172</v>
      </c>
      <c r="D25" s="61">
        <f>IF(ISERROR(C25/B25),"n/a",C25/B25)</f>
        <v>0.35364270215079813</v>
      </c>
      <c r="E25" s="31"/>
      <c r="F25" s="39"/>
      <c r="G25" s="20"/>
      <c r="H25" s="32">
        <f>SUM(H23:H24)</f>
        <v>2694.7579816995089</v>
      </c>
      <c r="I25" s="61">
        <f>H25/B25</f>
        <v>0.60317127753834776</v>
      </c>
      <c r="J25" s="4"/>
    </row>
    <row r="26" spans="1:10" ht="5" customHeight="1">
      <c r="A26" s="60"/>
      <c r="B26" s="13"/>
      <c r="C26" s="36"/>
      <c r="D26" s="63"/>
      <c r="E26" s="35"/>
      <c r="F26" s="56"/>
      <c r="G26" s="56"/>
      <c r="H26" s="36"/>
      <c r="I26" s="63"/>
      <c r="J26" s="4"/>
    </row>
    <row r="27" spans="1:10">
      <c r="A27" s="59" t="s">
        <v>269</v>
      </c>
      <c r="B27" s="20"/>
      <c r="C27" s="36"/>
      <c r="D27" s="63"/>
      <c r="E27" s="20"/>
      <c r="F27" s="20"/>
      <c r="G27" s="20"/>
      <c r="H27" s="36"/>
      <c r="I27" s="63"/>
      <c r="J27" s="4"/>
    </row>
    <row r="28" spans="1:10" ht="14">
      <c r="A28" s="251" t="s">
        <v>125</v>
      </c>
      <c r="B28" s="75">
        <v>0</v>
      </c>
      <c r="C28" s="36">
        <f>D28*B28</f>
        <v>0</v>
      </c>
      <c r="D28" s="61">
        <v>0</v>
      </c>
      <c r="E28" s="31"/>
      <c r="F28" s="39">
        <v>1.7055951497654467</v>
      </c>
      <c r="G28" s="56"/>
      <c r="H28" s="32">
        <f>C28*F28</f>
        <v>0</v>
      </c>
      <c r="I28" s="61" t="str">
        <f>IF(ISERROR(H28/B28),"n/a",H28/B28)</f>
        <v>n/a</v>
      </c>
      <c r="J28" s="4"/>
    </row>
    <row r="29" spans="1:10" ht="14">
      <c r="A29" s="250" t="s">
        <v>287</v>
      </c>
      <c r="B29" s="75">
        <v>0</v>
      </c>
      <c r="C29" s="36">
        <v>0</v>
      </c>
      <c r="D29" s="61" t="s">
        <v>101</v>
      </c>
      <c r="E29" s="31"/>
      <c r="F29" s="39">
        <v>1.7055951497654467</v>
      </c>
      <c r="G29" s="56"/>
      <c r="H29" s="32">
        <f>C29*F29</f>
        <v>0</v>
      </c>
      <c r="I29" s="61" t="str">
        <f>IF(ISERROR(H29/B29),"n/a",H29/B29)</f>
        <v>n/a</v>
      </c>
      <c r="J29" s="4"/>
    </row>
    <row r="30" spans="1:10" ht="14">
      <c r="A30" s="251" t="s">
        <v>97</v>
      </c>
      <c r="B30" s="75">
        <f>SUM(B28:B29)</f>
        <v>0</v>
      </c>
      <c r="C30" s="108">
        <f>SUM(C28:C29)</f>
        <v>0</v>
      </c>
      <c r="D30" s="61" t="str">
        <f>IF(ISERROR(C30/B30),"n/a",C30/B30)</f>
        <v>n/a</v>
      </c>
      <c r="E30" s="31"/>
      <c r="F30" s="39"/>
      <c r="G30" s="20"/>
      <c r="H30" s="32">
        <f>SUM(H28:H29)</f>
        <v>0</v>
      </c>
      <c r="I30" s="61" t="str">
        <f>IF(ISERROR(H30/B30),"n/a",H30/B30)</f>
        <v>n/a</v>
      </c>
      <c r="J30" s="4"/>
    </row>
    <row r="31" spans="1:10" ht="5" customHeight="1">
      <c r="A31" s="60"/>
      <c r="B31" s="13"/>
      <c r="C31" s="36"/>
      <c r="D31" s="63"/>
      <c r="E31" s="35"/>
      <c r="F31" s="56"/>
      <c r="G31" s="56"/>
      <c r="H31" s="36"/>
      <c r="I31" s="63"/>
      <c r="J31" s="4"/>
    </row>
    <row r="32" spans="1:10">
      <c r="A32" s="59" t="s">
        <v>274</v>
      </c>
      <c r="B32" s="13"/>
      <c r="C32" s="36"/>
      <c r="D32" s="63"/>
      <c r="E32" s="35"/>
      <c r="F32" s="56"/>
      <c r="G32" s="56"/>
      <c r="H32" s="36"/>
      <c r="I32" s="63"/>
      <c r="J32" s="4"/>
    </row>
    <row r="33" spans="1:10" ht="14">
      <c r="A33" s="251" t="s">
        <v>125</v>
      </c>
      <c r="B33" s="75">
        <v>0</v>
      </c>
      <c r="C33" s="36">
        <f>D33*B33</f>
        <v>0</v>
      </c>
      <c r="D33" s="61">
        <v>0</v>
      </c>
      <c r="E33" s="31"/>
      <c r="F33" s="39">
        <v>1.7055951497654467</v>
      </c>
      <c r="G33" s="56"/>
      <c r="H33" s="32">
        <f>C33*F33</f>
        <v>0</v>
      </c>
      <c r="I33" s="61" t="str">
        <f>IF(ISERROR(H33/B33),"n/a",H33/B33)</f>
        <v>n/a</v>
      </c>
      <c r="J33" s="4"/>
    </row>
    <row r="34" spans="1:10">
      <c r="A34" s="250" t="s">
        <v>287</v>
      </c>
      <c r="B34" s="75">
        <v>15474.858110314834</v>
      </c>
      <c r="C34" s="36">
        <f>D34*B34</f>
        <v>5472.5706375319269</v>
      </c>
      <c r="D34" s="61">
        <v>0.35364270215079785</v>
      </c>
      <c r="E34" s="31"/>
      <c r="F34" s="39">
        <v>1.7055951497654467</v>
      </c>
      <c r="G34" s="56"/>
      <c r="H34" s="32">
        <f>C34*F34</f>
        <v>9333.9899361232528</v>
      </c>
      <c r="I34" s="61">
        <f>IF(ISERROR(H34/B34),"n/a",H34/B34)</f>
        <v>0.60317127753834732</v>
      </c>
      <c r="J34" s="4"/>
    </row>
    <row r="35" spans="1:10">
      <c r="A35" s="251" t="s">
        <v>97</v>
      </c>
      <c r="B35" s="75">
        <f>SUM(B33:B34)</f>
        <v>15474.858110314834</v>
      </c>
      <c r="C35" s="108">
        <f>SUM(C33:C34)</f>
        <v>5472.5706375319269</v>
      </c>
      <c r="D35" s="61">
        <f>IF(ISERROR(C35/B35),"n/a",C35/B35)</f>
        <v>0.35364270215079785</v>
      </c>
      <c r="E35" s="31"/>
      <c r="F35" s="39"/>
      <c r="G35" s="20"/>
      <c r="H35" s="32">
        <f>SUM(H33:H34)</f>
        <v>9333.9899361232528</v>
      </c>
      <c r="I35" s="61">
        <f>H35/B35</f>
        <v>0.60317127753834732</v>
      </c>
      <c r="J35" s="4"/>
    </row>
    <row r="36" spans="1:10">
      <c r="A36" s="60"/>
      <c r="B36" s="75"/>
      <c r="C36" s="36"/>
      <c r="D36" s="61"/>
      <c r="E36" s="31"/>
      <c r="F36" s="39"/>
      <c r="G36" s="56"/>
      <c r="H36" s="32"/>
      <c r="I36" s="344"/>
      <c r="J36" s="4"/>
    </row>
    <row r="37" spans="1:10" ht="16">
      <c r="A37" s="117" t="s">
        <v>643</v>
      </c>
      <c r="J37" s="4"/>
    </row>
    <row r="38" spans="1:10" ht="16">
      <c r="A38" s="117" t="s">
        <v>780</v>
      </c>
      <c r="J38" s="4"/>
    </row>
    <row r="39" spans="1:10" ht="28">
      <c r="B39" s="125" t="s">
        <v>245</v>
      </c>
      <c r="C39" s="138" t="s">
        <v>244</v>
      </c>
      <c r="D39" s="8" t="s">
        <v>99</v>
      </c>
      <c r="E39" s="8"/>
      <c r="F39" s="142" t="s">
        <v>241</v>
      </c>
      <c r="G39" s="65"/>
      <c r="H39" s="119" t="s">
        <v>213</v>
      </c>
      <c r="I39" s="31" t="s">
        <v>128</v>
      </c>
      <c r="J39" s="4"/>
    </row>
    <row r="40" spans="1:10">
      <c r="A40" s="14" t="s">
        <v>285</v>
      </c>
      <c r="B40" s="13"/>
      <c r="C40" s="36"/>
      <c r="D40" s="63"/>
      <c r="E40" s="35"/>
      <c r="F40" s="56"/>
      <c r="G40" s="56"/>
      <c r="H40" s="36"/>
      <c r="I40" s="63"/>
      <c r="J40" s="4"/>
    </row>
    <row r="41" spans="1:10">
      <c r="A41" s="66" t="s">
        <v>165</v>
      </c>
      <c r="B41" s="20"/>
      <c r="C41" s="36"/>
      <c r="D41" s="63"/>
      <c r="E41" s="20"/>
      <c r="F41" s="20"/>
      <c r="G41" s="20"/>
      <c r="H41" s="36"/>
      <c r="I41" s="63"/>
      <c r="J41" s="4"/>
    </row>
    <row r="42" spans="1:10">
      <c r="A42" s="59" t="s">
        <v>284</v>
      </c>
      <c r="B42" s="75"/>
      <c r="C42" s="36"/>
      <c r="D42" s="61"/>
      <c r="E42" s="31"/>
      <c r="F42" s="39"/>
      <c r="G42" s="55"/>
      <c r="H42" s="32"/>
      <c r="I42" s="61"/>
      <c r="J42" s="4"/>
    </row>
    <row r="43" spans="1:10" ht="14">
      <c r="A43" s="251" t="s">
        <v>125</v>
      </c>
      <c r="B43" s="75">
        <v>0</v>
      </c>
      <c r="C43" s="36">
        <v>0</v>
      </c>
      <c r="D43" s="61" t="str">
        <f>IF(ISERROR(C43/B43),"n/a",C43/B43)</f>
        <v>n/a</v>
      </c>
      <c r="E43" s="31"/>
      <c r="F43" s="39">
        <v>1.7055951497654467</v>
      </c>
      <c r="G43" s="20"/>
      <c r="H43" s="32">
        <f>C43*F43</f>
        <v>0</v>
      </c>
      <c r="I43" s="61" t="str">
        <f>IF(ISERROR(H43/B43),"n/a",H43/B43)</f>
        <v>n/a</v>
      </c>
      <c r="J43" s="4"/>
    </row>
    <row r="44" spans="1:10">
      <c r="A44" s="250" t="s">
        <v>287</v>
      </c>
      <c r="B44" s="75">
        <v>1137.9106206454715</v>
      </c>
      <c r="C44" s="36">
        <v>289.50186786369426</v>
      </c>
      <c r="D44" s="61">
        <f>IF(ISERROR(C44/B44),"n/a",C44/B44)</f>
        <v>0.25441529643117</v>
      </c>
      <c r="E44" s="31"/>
      <c r="F44" s="39">
        <v>1.7055951497654467</v>
      </c>
      <c r="G44" s="20"/>
      <c r="H44" s="32">
        <f>C44*F44</f>
        <v>493.77298167635416</v>
      </c>
      <c r="I44" s="61">
        <f>IF(ISERROR(H44/B44),"n/a",H44/B44)</f>
        <v>0.4339294956191419</v>
      </c>
      <c r="J44" s="4"/>
    </row>
    <row r="45" spans="1:10">
      <c r="A45" s="251" t="s">
        <v>97</v>
      </c>
      <c r="B45" s="75">
        <f>SUM(B43:B44)</f>
        <v>1137.9106206454715</v>
      </c>
      <c r="C45" s="108">
        <f>SUM(C43:C44)</f>
        <v>289.50186786369426</v>
      </c>
      <c r="D45" s="61">
        <f>IF(ISERROR(C45/B45),"n/a",C45/B45)</f>
        <v>0.25441529643117</v>
      </c>
      <c r="E45" s="31"/>
      <c r="F45" s="39"/>
      <c r="G45" s="20"/>
      <c r="H45" s="32">
        <f>SUM(H43:H44)</f>
        <v>493.77298167635416</v>
      </c>
      <c r="I45" s="61">
        <f>H45/B45</f>
        <v>0.4339294956191419</v>
      </c>
      <c r="J45" s="4"/>
    </row>
    <row r="46" spans="1:10" ht="5" customHeight="1">
      <c r="A46" s="80"/>
      <c r="B46" s="75"/>
      <c r="C46" s="108"/>
      <c r="D46" s="61"/>
      <c r="E46" s="31"/>
      <c r="F46" s="39"/>
      <c r="G46" s="20"/>
      <c r="H46" s="32"/>
      <c r="I46" s="61"/>
      <c r="J46" s="4"/>
    </row>
    <row r="47" spans="1:10">
      <c r="A47" s="59" t="s">
        <v>163</v>
      </c>
      <c r="B47" s="75"/>
      <c r="C47" s="36"/>
      <c r="D47" s="61"/>
      <c r="E47" s="31"/>
      <c r="F47" s="39"/>
      <c r="G47" s="20"/>
      <c r="H47" s="32"/>
      <c r="I47" s="61"/>
      <c r="J47" s="4"/>
    </row>
    <row r="48" spans="1:10" ht="14">
      <c r="A48" s="251" t="s">
        <v>125</v>
      </c>
      <c r="B48" s="75">
        <v>0</v>
      </c>
      <c r="C48" s="36">
        <v>0</v>
      </c>
      <c r="D48" s="61" t="str">
        <f>IF(ISERROR(C48/B48),"n/a",C48/B48)</f>
        <v>n/a</v>
      </c>
      <c r="E48" s="31"/>
      <c r="F48" s="39">
        <v>1.7055951497654467</v>
      </c>
      <c r="G48" s="55"/>
      <c r="H48" s="32">
        <f>C48*F48</f>
        <v>0</v>
      </c>
      <c r="I48" s="61" t="str">
        <f>IF(ISERROR(H48/B48),"n/a",H48/B48)</f>
        <v>n/a</v>
      </c>
      <c r="J48" s="4"/>
    </row>
    <row r="49" spans="1:10">
      <c r="A49" s="250" t="s">
        <v>287</v>
      </c>
      <c r="B49" s="75">
        <v>5505.6669272374165</v>
      </c>
      <c r="C49" s="36">
        <v>1400.7258833443962</v>
      </c>
      <c r="D49" s="61">
        <f>IF(ISERROR(C49/B49),"n/a",C49/B49)</f>
        <v>0.25441529643117</v>
      </c>
      <c r="E49" s="31"/>
      <c r="F49" s="39">
        <v>1.7055951497654467</v>
      </c>
      <c r="G49" s="55"/>
      <c r="H49" s="32">
        <f>C49*F49</f>
        <v>2389.0712727831228</v>
      </c>
      <c r="I49" s="61">
        <f>IF(ISERROR(H49/B49),"n/a",H49/B49)</f>
        <v>0.43392949561914185</v>
      </c>
      <c r="J49" s="4"/>
    </row>
    <row r="50" spans="1:10">
      <c r="A50" s="251" t="s">
        <v>97</v>
      </c>
      <c r="B50" s="75">
        <f>SUM(B48:B49)</f>
        <v>5505.6669272374165</v>
      </c>
      <c r="C50" s="108">
        <f>SUM(C48:C49)</f>
        <v>1400.7258833443962</v>
      </c>
      <c r="D50" s="61">
        <f>IF(ISERROR(C50/B50),"n/a",C50/B50)</f>
        <v>0.25441529643117</v>
      </c>
      <c r="E50" s="31"/>
      <c r="F50" s="39"/>
      <c r="G50" s="20"/>
      <c r="H50" s="32">
        <f>SUM(H48:H49)</f>
        <v>2389.0712727831228</v>
      </c>
      <c r="I50" s="61">
        <f>H50/B50</f>
        <v>0.43392949561914185</v>
      </c>
      <c r="J50" s="4"/>
    </row>
    <row r="51" spans="1:10" ht="5" customHeight="1">
      <c r="A51" s="80"/>
      <c r="B51" s="75"/>
      <c r="C51" s="108"/>
      <c r="D51" s="61"/>
      <c r="E51" s="31"/>
      <c r="F51" s="39"/>
      <c r="G51" s="20"/>
      <c r="H51" s="32"/>
      <c r="I51" s="61"/>
      <c r="J51" s="4"/>
    </row>
    <row r="52" spans="1:10">
      <c r="A52" s="66" t="s">
        <v>164</v>
      </c>
      <c r="B52" s="13"/>
      <c r="C52" s="36"/>
      <c r="D52" s="63"/>
      <c r="E52" s="35"/>
      <c r="F52" s="56"/>
      <c r="G52" s="56"/>
      <c r="H52" s="36"/>
      <c r="I52" s="63"/>
      <c r="J52" s="4"/>
    </row>
    <row r="53" spans="1:10">
      <c r="A53" s="59" t="s">
        <v>284</v>
      </c>
      <c r="B53" s="13"/>
      <c r="C53" s="36"/>
      <c r="D53" s="63"/>
      <c r="E53" s="35"/>
      <c r="F53" s="56"/>
      <c r="G53" s="56"/>
      <c r="H53" s="36"/>
      <c r="I53" s="63"/>
      <c r="J53" s="4"/>
    </row>
    <row r="54" spans="1:10" ht="14">
      <c r="A54" s="251" t="s">
        <v>125</v>
      </c>
      <c r="B54" s="75">
        <v>0</v>
      </c>
      <c r="C54" s="36">
        <v>0</v>
      </c>
      <c r="D54" s="61" t="str">
        <f>IF(ISERROR(C54/B54),"n/a",C54/B54)</f>
        <v>n/a</v>
      </c>
      <c r="E54" s="31"/>
      <c r="F54" s="39">
        <v>1.7055951497654467</v>
      </c>
      <c r="G54" s="55"/>
      <c r="H54" s="32">
        <f>IF(B54=0,0,C54*F54)</f>
        <v>0</v>
      </c>
      <c r="I54" s="61" t="str">
        <f>IF(ISERROR(H54/B54),"n/a",H54/B54)</f>
        <v>n/a</v>
      </c>
      <c r="J54" s="4"/>
    </row>
    <row r="55" spans="1:10">
      <c r="A55" s="250" t="s">
        <v>287</v>
      </c>
      <c r="B55" s="75">
        <v>27.588370886711477</v>
      </c>
      <c r="C55" s="36">
        <v>7.0189035571957614</v>
      </c>
      <c r="D55" s="61">
        <f>IF(ISERROR(C55/B55),"n/a",C55/B55)</f>
        <v>0.25441529643117</v>
      </c>
      <c r="E55" s="31"/>
      <c r="F55" s="39">
        <v>1.7055951497654467</v>
      </c>
      <c r="G55" s="55"/>
      <c r="H55" s="32">
        <f>C55*F55</f>
        <v>11.971407863824531</v>
      </c>
      <c r="I55" s="61">
        <f>IF(ISERROR(H55/B55),"n/a",H55/B55)</f>
        <v>0.43392949561914196</v>
      </c>
      <c r="J55" s="4"/>
    </row>
    <row r="56" spans="1:10">
      <c r="A56" s="251" t="s">
        <v>97</v>
      </c>
      <c r="B56" s="75">
        <f>SUM(B54:B55)</f>
        <v>27.588370886711477</v>
      </c>
      <c r="C56" s="108">
        <f>SUM(C54:C55)</f>
        <v>7.0189035571957614</v>
      </c>
      <c r="D56" s="61">
        <f>IF(ISERROR(C56/B56),"n/a",C56/B56)</f>
        <v>0.25441529643117</v>
      </c>
      <c r="E56" s="31"/>
      <c r="F56" s="39"/>
      <c r="G56" s="20"/>
      <c r="H56" s="32">
        <f>SUM(H54:H55)</f>
        <v>11.971407863824531</v>
      </c>
      <c r="I56" s="61">
        <f>H56/B56</f>
        <v>0.43392949561914196</v>
      </c>
      <c r="J56" s="4"/>
    </row>
    <row r="57" spans="1:10" ht="5" customHeight="1">
      <c r="A57" s="80"/>
      <c r="B57" s="75"/>
      <c r="C57" s="108"/>
      <c r="D57" s="61"/>
      <c r="E57" s="31"/>
      <c r="F57" s="39"/>
      <c r="G57" s="20"/>
      <c r="H57" s="32"/>
      <c r="I57" s="61"/>
      <c r="J57" s="4"/>
    </row>
    <row r="58" spans="1:10">
      <c r="A58" s="59" t="s">
        <v>163</v>
      </c>
      <c r="B58" s="13"/>
      <c r="C58" s="36"/>
      <c r="D58" s="63"/>
      <c r="E58" s="35"/>
      <c r="F58" s="56"/>
      <c r="G58" s="56"/>
      <c r="H58" s="36"/>
      <c r="I58" s="63"/>
      <c r="J58" s="4"/>
    </row>
    <row r="59" spans="1:10" ht="14">
      <c r="A59" s="251" t="s">
        <v>125</v>
      </c>
      <c r="B59" s="75">
        <v>0</v>
      </c>
      <c r="C59" s="36">
        <v>0</v>
      </c>
      <c r="D59" s="61" t="str">
        <f>IF(ISERROR(C59/B59),"n/a",C59/B59)</f>
        <v>n/a</v>
      </c>
      <c r="E59" s="31"/>
      <c r="F59" s="39">
        <v>1.7055951497654467</v>
      </c>
      <c r="G59" s="55"/>
      <c r="H59" s="32">
        <f>C59*F59</f>
        <v>0</v>
      </c>
      <c r="I59" s="61" t="str">
        <f>IF(ISERROR(H59/B59),"n/a",H59/B59)</f>
        <v>n/a</v>
      </c>
      <c r="J59" s="4"/>
    </row>
    <row r="60" spans="1:10" ht="14">
      <c r="A60" s="250" t="s">
        <v>287</v>
      </c>
      <c r="B60" s="75">
        <v>0</v>
      </c>
      <c r="C60" s="36">
        <v>0</v>
      </c>
      <c r="D60" s="61" t="str">
        <f>IF(ISERROR(C60/B60),"n/a",C60/B60)</f>
        <v>n/a</v>
      </c>
      <c r="E60" s="31"/>
      <c r="F60" s="39">
        <v>1.7055951497654467</v>
      </c>
      <c r="G60" s="55"/>
      <c r="H60" s="32">
        <f>C60*F60</f>
        <v>0</v>
      </c>
      <c r="I60" s="61" t="str">
        <f>IF(ISERROR(H60/B60),"n/a",H60/B60)</f>
        <v>n/a</v>
      </c>
      <c r="J60" s="4"/>
    </row>
    <row r="61" spans="1:10" ht="14">
      <c r="A61" s="251" t="s">
        <v>97</v>
      </c>
      <c r="B61" s="75">
        <f>SUM(B59:B60)</f>
        <v>0</v>
      </c>
      <c r="C61" s="108">
        <f>SUM(C59:C60)</f>
        <v>0</v>
      </c>
      <c r="D61" s="61" t="str">
        <f>IF(ISERROR(C61/B61),"n/a",C61/B61)</f>
        <v>n/a</v>
      </c>
      <c r="E61" s="31"/>
      <c r="F61" s="39"/>
      <c r="G61" s="20"/>
      <c r="H61" s="32">
        <f>SUM(H59:H60)</f>
        <v>0</v>
      </c>
      <c r="I61" s="61" t="str">
        <f>IF(ISERROR(H61/B61),"n/a",H61/B61)</f>
        <v>n/a</v>
      </c>
      <c r="J61" s="4"/>
    </row>
    <row r="62" spans="1:10">
      <c r="A62" s="251"/>
      <c r="B62" s="75"/>
      <c r="C62" s="108"/>
      <c r="D62" s="61"/>
      <c r="E62" s="31"/>
      <c r="F62" s="39"/>
      <c r="G62" s="20"/>
      <c r="H62" s="32"/>
      <c r="I62" s="61"/>
      <c r="J62" s="4"/>
    </row>
    <row r="63" spans="1:10" ht="16">
      <c r="A63" s="117" t="s">
        <v>644</v>
      </c>
      <c r="J63" s="4"/>
    </row>
    <row r="64" spans="1:10" ht="16">
      <c r="A64" s="117" t="s">
        <v>780</v>
      </c>
      <c r="J64" s="4"/>
    </row>
    <row r="65" spans="1:16" ht="28">
      <c r="B65" s="125" t="s">
        <v>245</v>
      </c>
      <c r="C65" s="138" t="s">
        <v>244</v>
      </c>
      <c r="D65" s="8" t="s">
        <v>99</v>
      </c>
      <c r="E65" s="8"/>
      <c r="F65" s="142" t="s">
        <v>241</v>
      </c>
      <c r="G65" s="65"/>
      <c r="H65" s="119" t="s">
        <v>213</v>
      </c>
      <c r="I65" s="31" t="s">
        <v>128</v>
      </c>
      <c r="J65" s="4"/>
    </row>
    <row r="66" spans="1:16">
      <c r="A66" s="14" t="s">
        <v>776</v>
      </c>
      <c r="B66" s="125"/>
      <c r="C66" s="138"/>
      <c r="D66" s="8"/>
      <c r="E66" s="8"/>
      <c r="F66" s="142"/>
      <c r="G66" s="65"/>
      <c r="H66" s="119"/>
      <c r="I66" s="31"/>
      <c r="J66" s="4"/>
    </row>
    <row r="67" spans="1:16">
      <c r="A67" s="66" t="s">
        <v>169</v>
      </c>
      <c r="B67" s="75"/>
      <c r="C67" s="108"/>
      <c r="D67" s="61"/>
      <c r="E67" s="31"/>
      <c r="F67" s="39"/>
      <c r="G67" s="20"/>
      <c r="H67" s="32"/>
      <c r="I67" s="61"/>
      <c r="J67" s="4"/>
      <c r="M67" s="4"/>
      <c r="N67" s="4"/>
      <c r="O67" s="4"/>
      <c r="P67" s="4"/>
    </row>
    <row r="68" spans="1:16">
      <c r="A68" s="60" t="s">
        <v>269</v>
      </c>
      <c r="B68" s="75"/>
      <c r="C68" s="108"/>
      <c r="D68" s="61"/>
      <c r="E68" s="31"/>
      <c r="F68" s="39"/>
      <c r="G68" s="20"/>
      <c r="H68" s="32"/>
      <c r="I68" s="61"/>
      <c r="J68" s="4"/>
    </row>
    <row r="69" spans="1:16" ht="14">
      <c r="A69" s="251" t="s">
        <v>125</v>
      </c>
      <c r="B69" s="75">
        <v>0</v>
      </c>
      <c r="C69" s="36">
        <v>0</v>
      </c>
      <c r="D69" s="61" t="str">
        <f>IF(ISERROR(C69/B69),"n/a",C69/B69)</f>
        <v>n/a</v>
      </c>
      <c r="E69" s="31"/>
      <c r="F69" s="39">
        <v>1.7055951497654467</v>
      </c>
      <c r="G69" s="20"/>
      <c r="H69" s="32">
        <f>C69*F69</f>
        <v>0</v>
      </c>
      <c r="I69" s="61" t="str">
        <f>IF(ISERROR(H69/B69),"n/a",H69/B69)</f>
        <v>n/a</v>
      </c>
      <c r="J69" s="4"/>
    </row>
    <row r="70" spans="1:16">
      <c r="A70" s="250" t="s">
        <v>287</v>
      </c>
      <c r="B70" s="75">
        <v>11075.134430338496</v>
      </c>
      <c r="C70" s="36">
        <v>171.54708991127336</v>
      </c>
      <c r="D70" s="61">
        <f>IF(ISERROR(C70/B70),"n/a",C70/B70)</f>
        <v>1.5489391211482592E-2</v>
      </c>
      <c r="E70" s="31"/>
      <c r="F70" s="39">
        <v>1.7055951497654467</v>
      </c>
      <c r="G70" s="20"/>
      <c r="H70" s="32">
        <f>C70*F70</f>
        <v>292.58988450904485</v>
      </c>
      <c r="I70" s="61">
        <f>IF(ISERROR(H70/B70),"n/a",H70/B70)</f>
        <v>2.6418630523124247E-2</v>
      </c>
      <c r="J70" s="4"/>
    </row>
    <row r="71" spans="1:16">
      <c r="A71" s="251" t="s">
        <v>97</v>
      </c>
      <c r="B71" s="75">
        <f>SUM(B69:B70)</f>
        <v>11075.134430338496</v>
      </c>
      <c r="C71" s="36">
        <f>SUM(C69:C70)</f>
        <v>171.54708991127336</v>
      </c>
      <c r="D71" s="61">
        <f>IF(ISERROR(C71/B71),"n/a",C71/B71)</f>
        <v>1.5489391211482592E-2</v>
      </c>
      <c r="E71" s="31"/>
      <c r="F71" s="39"/>
      <c r="G71" s="20"/>
      <c r="H71" s="32">
        <f>SUM(H69:H70)</f>
        <v>292.58988450904485</v>
      </c>
      <c r="I71" s="61">
        <f>H71/B71</f>
        <v>2.6418630523124247E-2</v>
      </c>
      <c r="J71" s="4"/>
    </row>
    <row r="72" spans="1:16" ht="5" customHeight="1">
      <c r="A72" s="80"/>
      <c r="B72" s="75"/>
      <c r="C72" s="108"/>
      <c r="D72" s="61"/>
      <c r="E72" s="31"/>
      <c r="F72" s="39"/>
      <c r="G72" s="20"/>
      <c r="H72" s="32"/>
      <c r="I72" s="61"/>
      <c r="J72" s="4"/>
    </row>
    <row r="73" spans="1:16">
      <c r="A73" s="59" t="s">
        <v>274</v>
      </c>
      <c r="B73" s="75"/>
      <c r="C73" s="108"/>
      <c r="D73" s="61"/>
      <c r="E73" s="31"/>
      <c r="F73" s="39"/>
      <c r="G73" s="20"/>
      <c r="H73" s="32"/>
      <c r="I73" s="61"/>
      <c r="J73" s="4"/>
    </row>
    <row r="74" spans="1:16" ht="14">
      <c r="A74" s="251" t="s">
        <v>125</v>
      </c>
      <c r="B74" s="75">
        <v>0</v>
      </c>
      <c r="C74" s="36">
        <v>0</v>
      </c>
      <c r="D74" s="61" t="str">
        <f>IF(ISERROR(C74/B74),"n/a",C74/B74)</f>
        <v>n/a</v>
      </c>
      <c r="E74" s="31"/>
      <c r="F74" s="39">
        <v>1.7055951497654467</v>
      </c>
      <c r="G74" s="20"/>
      <c r="H74" s="32">
        <f>C74*F74</f>
        <v>0</v>
      </c>
      <c r="I74" s="61" t="str">
        <f>IF(ISERROR(H74/B74),"n/a",H74/B74)</f>
        <v>n/a</v>
      </c>
      <c r="J74" s="4"/>
    </row>
    <row r="75" spans="1:16">
      <c r="A75" s="250" t="s">
        <v>287</v>
      </c>
      <c r="B75" s="75">
        <v>17859.36648327074</v>
      </c>
      <c r="C75" s="36">
        <v>276.63071424862119</v>
      </c>
      <c r="D75" s="61">
        <f>IF(ISERROR(C75/B75),"n/a",C75/B75)</f>
        <v>1.5489391211482626E-2</v>
      </c>
      <c r="E75" s="31"/>
      <c r="F75" s="39">
        <v>1.7055951497654467</v>
      </c>
      <c r="G75" s="20"/>
      <c r="H75" s="32">
        <f>C75*F75</f>
        <v>471.82000449859953</v>
      </c>
      <c r="I75" s="61">
        <f>IF(ISERROR(H75/B75),"n/a",H75/B75)</f>
        <v>2.6418630523124303E-2</v>
      </c>
      <c r="J75" s="4"/>
    </row>
    <row r="76" spans="1:16">
      <c r="A76" s="251" t="s">
        <v>97</v>
      </c>
      <c r="B76" s="75">
        <f>SUM(B74:B75)</f>
        <v>17859.36648327074</v>
      </c>
      <c r="C76" s="36">
        <f>SUM(C74:C75)</f>
        <v>276.63071424862119</v>
      </c>
      <c r="D76" s="61">
        <f>IF(ISERROR(C76/B76),"n/a",C76/B76)</f>
        <v>1.5489391211482626E-2</v>
      </c>
      <c r="E76" s="31"/>
      <c r="F76" s="39"/>
      <c r="G76" s="20"/>
      <c r="H76" s="32">
        <f>SUM(H74:H75)</f>
        <v>471.82000449859953</v>
      </c>
      <c r="I76" s="61">
        <f>H76/B76</f>
        <v>2.6418630523124303E-2</v>
      </c>
      <c r="J76" s="4"/>
    </row>
    <row r="77" spans="1:16" ht="5" customHeight="1">
      <c r="A77" s="251"/>
      <c r="B77" s="75"/>
      <c r="C77" s="108"/>
      <c r="D77" s="61"/>
      <c r="E77" s="31"/>
      <c r="F77" s="39"/>
      <c r="G77" s="20"/>
      <c r="H77" s="32"/>
      <c r="I77" s="61"/>
      <c r="J77" s="4"/>
    </row>
    <row r="78" spans="1:16">
      <c r="A78" s="18" t="s">
        <v>303</v>
      </c>
      <c r="B78" s="75"/>
      <c r="C78" s="108"/>
      <c r="D78" s="61"/>
      <c r="E78" s="31"/>
      <c r="F78" s="39"/>
      <c r="G78" s="20"/>
      <c r="H78" s="32"/>
      <c r="I78" s="61"/>
      <c r="J78" s="4"/>
    </row>
    <row r="79" spans="1:16">
      <c r="A79" s="60" t="s">
        <v>269</v>
      </c>
      <c r="B79" s="75"/>
      <c r="C79" s="108"/>
      <c r="D79" s="61"/>
      <c r="E79" s="31"/>
      <c r="F79" s="39"/>
      <c r="G79" s="20"/>
      <c r="H79" s="32"/>
      <c r="I79" s="61"/>
      <c r="J79" s="4"/>
    </row>
    <row r="80" spans="1:16" ht="14">
      <c r="A80" s="251" t="s">
        <v>125</v>
      </c>
      <c r="B80" s="75">
        <v>0</v>
      </c>
      <c r="C80" s="108">
        <v>0</v>
      </c>
      <c r="D80" s="61" t="str">
        <f>IF(ISERROR(C80/B80),"n/a",C80/B80)</f>
        <v>n/a</v>
      </c>
      <c r="E80" s="31"/>
      <c r="F80" s="39">
        <v>1.7055951497654467</v>
      </c>
      <c r="G80" s="20"/>
      <c r="H80" s="32">
        <f>C80*F80</f>
        <v>0</v>
      </c>
      <c r="I80" s="61" t="str">
        <f>IF(ISERROR(H80/B80),"n/a",H80/B80)</f>
        <v>n/a</v>
      </c>
      <c r="J80" s="4"/>
    </row>
    <row r="81" spans="1:10">
      <c r="A81" s="250" t="s">
        <v>287</v>
      </c>
      <c r="B81" s="75">
        <v>11075.134430338496</v>
      </c>
      <c r="C81" s="108">
        <v>3143.7876564454373</v>
      </c>
      <c r="D81" s="61">
        <f>IF(ISERROR(C81/B81),"n/a",C81/B81)</f>
        <v>0.2838599997335971</v>
      </c>
      <c r="E81" s="31"/>
      <c r="F81" s="39">
        <v>1.7055951497654467</v>
      </c>
      <c r="G81" s="20"/>
      <c r="H81" s="32">
        <f>C81*F81</f>
        <v>5362.028978725818</v>
      </c>
      <c r="I81" s="61">
        <f>IF(ISERROR(H81/B81),"n/a",H81/B81)</f>
        <v>0.48415023875804414</v>
      </c>
      <c r="J81" s="4"/>
    </row>
    <row r="82" spans="1:10">
      <c r="A82" s="251" t="s">
        <v>97</v>
      </c>
      <c r="B82" s="75">
        <f>SUM(B80:B81)</f>
        <v>11075.134430338496</v>
      </c>
      <c r="C82" s="36">
        <f>SUM(C80:C81)</f>
        <v>3143.7876564454373</v>
      </c>
      <c r="D82" s="61">
        <f>IF(ISERROR(C82/B82),"n/a",C82/B82)</f>
        <v>0.2838599997335971</v>
      </c>
      <c r="E82" s="31"/>
      <c r="F82" s="39"/>
      <c r="G82" s="20"/>
      <c r="H82" s="32">
        <f>SUM(H80:H81)</f>
        <v>5362.028978725818</v>
      </c>
      <c r="I82" s="61">
        <f>H82/B82</f>
        <v>0.48415023875804414</v>
      </c>
      <c r="J82" s="4"/>
    </row>
    <row r="83" spans="1:10" ht="5" customHeight="1">
      <c r="A83" s="80"/>
      <c r="B83" s="75"/>
      <c r="C83" s="108"/>
      <c r="D83" s="61"/>
      <c r="E83" s="31"/>
      <c r="F83" s="39"/>
      <c r="G83" s="20"/>
      <c r="H83" s="32"/>
      <c r="I83" s="61"/>
      <c r="J83" s="4"/>
    </row>
    <row r="84" spans="1:10">
      <c r="A84" s="59" t="s">
        <v>274</v>
      </c>
      <c r="B84" s="75"/>
      <c r="C84" s="108"/>
      <c r="D84" s="61"/>
      <c r="E84" s="31"/>
      <c r="F84" s="39"/>
      <c r="G84" s="20"/>
      <c r="H84" s="32"/>
      <c r="I84" s="61"/>
      <c r="J84" s="4"/>
    </row>
    <row r="85" spans="1:10" ht="14">
      <c r="A85" s="251" t="s">
        <v>125</v>
      </c>
      <c r="B85" s="75">
        <v>0</v>
      </c>
      <c r="C85" s="108">
        <v>0</v>
      </c>
      <c r="D85" s="61" t="str">
        <f>IF(ISERROR(C85/B85),"n/a",C85/B85)</f>
        <v>n/a</v>
      </c>
      <c r="E85" s="31"/>
      <c r="F85" s="39">
        <v>1.7055951497654467</v>
      </c>
      <c r="G85" s="20"/>
      <c r="H85" s="32">
        <f>C85*F85</f>
        <v>0</v>
      </c>
      <c r="I85" s="61" t="str">
        <f>IF(ISERROR(H85/B85),"n/a",H85/B85)</f>
        <v>n/a</v>
      </c>
      <c r="J85" s="4"/>
    </row>
    <row r="86" spans="1:10">
      <c r="A86" s="250" t="s">
        <v>287</v>
      </c>
      <c r="B86" s="75">
        <v>17859.36648327074</v>
      </c>
      <c r="C86" s="108">
        <v>5069.5597651834441</v>
      </c>
      <c r="D86" s="61">
        <f>IF(ISERROR(C86/B86),"n/a",C86/B86)</f>
        <v>0.28385999973359705</v>
      </c>
      <c r="E86" s="31"/>
      <c r="F86" s="39">
        <v>1.7055951497654467</v>
      </c>
      <c r="G86" s="20"/>
      <c r="H86" s="32">
        <f>C86*F86</f>
        <v>8646.6165469429397</v>
      </c>
      <c r="I86" s="61">
        <f>IF(ISERROR(H86/B86),"n/a",H86/B86)</f>
        <v>0.48415023875804414</v>
      </c>
      <c r="J86" s="4"/>
    </row>
    <row r="87" spans="1:10">
      <c r="A87" s="251" t="s">
        <v>97</v>
      </c>
      <c r="B87" s="75">
        <f>SUM(B85:B86)</f>
        <v>17859.36648327074</v>
      </c>
      <c r="C87" s="36">
        <f>SUM(C85:C86)</f>
        <v>5069.5597651834441</v>
      </c>
      <c r="D87" s="61">
        <f>IF(ISERROR(C87/B87),"n/a",C87/B87)</f>
        <v>0.28385999973359705</v>
      </c>
      <c r="E87" s="31"/>
      <c r="F87" s="39"/>
      <c r="G87" s="20"/>
      <c r="H87" s="32">
        <f>SUM(H85:H86)</f>
        <v>8646.6165469429397</v>
      </c>
      <c r="I87" s="61">
        <f>H87/B87</f>
        <v>0.48415023875804414</v>
      </c>
      <c r="J87" s="4"/>
    </row>
    <row r="88" spans="1:10" hidden="1">
      <c r="A88" s="250"/>
      <c r="B88" s="75"/>
      <c r="C88" s="36"/>
      <c r="D88" s="61"/>
      <c r="E88" s="31"/>
      <c r="F88" s="39"/>
      <c r="G88" s="20"/>
      <c r="H88" s="32"/>
      <c r="I88" s="61"/>
      <c r="J88" s="4"/>
    </row>
    <row r="89" spans="1:10" hidden="1">
      <c r="A89" s="251"/>
      <c r="B89" s="75"/>
      <c r="C89" s="36"/>
      <c r="D89" s="61"/>
      <c r="E89" s="31"/>
      <c r="F89" s="39"/>
      <c r="G89" s="20"/>
      <c r="H89" s="32"/>
      <c r="I89" s="61"/>
      <c r="J89" s="4"/>
    </row>
    <row r="90" spans="1:10" hidden="1">
      <c r="B90" s="13" t="s">
        <v>188</v>
      </c>
      <c r="C90" s="6">
        <f>SUM(C7,C12,C17,C23,C28,C33,C43,C48,C54,C59)</f>
        <v>0</v>
      </c>
      <c r="D90" s="24">
        <v>0</v>
      </c>
      <c r="E90" s="89"/>
      <c r="F90" s="94">
        <f>C90-D90</f>
        <v>0</v>
      </c>
      <c r="G90" s="57"/>
      <c r="H90" s="28"/>
      <c r="I90" s="28"/>
      <c r="J90" s="4"/>
    </row>
    <row r="91" spans="1:10" hidden="1">
      <c r="A91" s="4"/>
      <c r="B91" s="13" t="s">
        <v>189</v>
      </c>
      <c r="C91" s="6">
        <f>SUM(C8,C13,C18,C24,C29,C34,C44,C49,C55,C60)</f>
        <v>36383.948130046643</v>
      </c>
      <c r="D91" s="24">
        <v>36383.948130046636</v>
      </c>
      <c r="E91" s="96"/>
      <c r="F91" s="94">
        <f>C91-D91</f>
        <v>0</v>
      </c>
      <c r="G91" s="57"/>
      <c r="H91" s="28"/>
      <c r="I91" s="28"/>
      <c r="J91" s="4"/>
    </row>
    <row r="92" spans="1:10" hidden="1">
      <c r="A92" s="4"/>
      <c r="B92" s="13" t="s">
        <v>190</v>
      </c>
      <c r="C92" s="6">
        <f>SUM(C90:C91)</f>
        <v>36383.948130046643</v>
      </c>
      <c r="D92" s="6">
        <f>SUM(D90:D91)</f>
        <v>36383.948130046636</v>
      </c>
      <c r="E92" s="101"/>
      <c r="F92" s="94">
        <f>C92-D92</f>
        <v>0</v>
      </c>
      <c r="G92" s="57"/>
      <c r="H92" s="28"/>
      <c r="I92" s="28"/>
      <c r="J92" s="4"/>
    </row>
    <row r="93" spans="1:10" hidden="1">
      <c r="A93" s="4"/>
      <c r="B93" s="339" t="s">
        <v>191</v>
      </c>
      <c r="C93" s="24">
        <f>C43+C48+C54+C59</f>
        <v>0</v>
      </c>
      <c r="D93" s="24">
        <v>0</v>
      </c>
      <c r="E93" s="96"/>
      <c r="F93" s="94">
        <f>C93-D93</f>
        <v>0</v>
      </c>
      <c r="G93" s="57"/>
      <c r="H93" s="28"/>
      <c r="I93" s="28"/>
      <c r="J93" s="4"/>
    </row>
    <row r="94" spans="1:10" hidden="1">
      <c r="A94" s="4"/>
      <c r="B94" s="339" t="s">
        <v>192</v>
      </c>
      <c r="C94" s="24">
        <f>C44+C49+C55+C60</f>
        <v>1697.2466547652862</v>
      </c>
      <c r="D94" s="24">
        <v>1697.2466547652862</v>
      </c>
      <c r="E94" s="96"/>
      <c r="F94" s="94">
        <f>C94-D94</f>
        <v>0</v>
      </c>
      <c r="G94" s="57"/>
      <c r="H94" s="28"/>
      <c r="I94" s="28"/>
      <c r="J94" s="4"/>
    </row>
    <row r="95" spans="1:10" hidden="1">
      <c r="A95" s="4"/>
      <c r="C95" s="28"/>
      <c r="D95" s="28"/>
      <c r="E95" s="28"/>
      <c r="F95" s="57"/>
      <c r="G95" s="57"/>
      <c r="H95" s="28"/>
      <c r="I95" s="28"/>
      <c r="J95" s="4"/>
    </row>
    <row r="96" spans="1:10" hidden="1">
      <c r="A96" s="4"/>
      <c r="C96" s="28"/>
      <c r="D96" s="28"/>
      <c r="E96" s="28"/>
      <c r="F96" s="57"/>
      <c r="G96" s="57"/>
      <c r="H96" s="28"/>
      <c r="I96" s="28"/>
      <c r="J96" s="4"/>
    </row>
    <row r="97" spans="1:10" hidden="1">
      <c r="A97" s="243" t="s">
        <v>193</v>
      </c>
      <c r="B97" s="98">
        <v>0</v>
      </c>
      <c r="C97" s="100" t="s">
        <v>194</v>
      </c>
      <c r="D97" s="28"/>
      <c r="E97" s="28"/>
      <c r="F97" s="57"/>
      <c r="G97" s="57"/>
      <c r="H97" s="28"/>
      <c r="I97" s="28"/>
      <c r="J97" s="4"/>
    </row>
    <row r="98" spans="1:10" hidden="1">
      <c r="A98" s="243" t="s">
        <v>195</v>
      </c>
      <c r="B98" s="98">
        <v>0</v>
      </c>
      <c r="C98" s="28" t="s">
        <v>196</v>
      </c>
      <c r="D98" s="28"/>
      <c r="E98" s="28"/>
      <c r="F98" s="57"/>
      <c r="G98" s="57"/>
      <c r="H98" s="28"/>
      <c r="I98" s="28"/>
      <c r="J98" s="4"/>
    </row>
    <row r="99" spans="1:10" hidden="1">
      <c r="A99" s="243" t="s">
        <v>197</v>
      </c>
      <c r="B99" s="98">
        <v>0</v>
      </c>
      <c r="C99" s="28"/>
      <c r="D99" s="28"/>
      <c r="E99" s="28"/>
      <c r="F99" s="57"/>
      <c r="G99" s="57"/>
      <c r="H99" s="28"/>
      <c r="I99" s="28"/>
      <c r="J99" s="4"/>
    </row>
    <row r="100" spans="1:10" hidden="1">
      <c r="A100" s="243" t="s">
        <v>198</v>
      </c>
      <c r="B100" s="98">
        <v>0</v>
      </c>
      <c r="C100" s="100" t="s">
        <v>199</v>
      </c>
      <c r="D100" s="28"/>
      <c r="E100" s="28"/>
      <c r="F100" s="57"/>
      <c r="G100" s="57"/>
      <c r="H100" s="28"/>
      <c r="I100" s="28"/>
      <c r="J100" s="4"/>
    </row>
    <row r="101" spans="1:10" hidden="1">
      <c r="A101" s="243" t="s">
        <v>200</v>
      </c>
      <c r="B101" s="98">
        <v>0</v>
      </c>
      <c r="C101" s="28"/>
      <c r="D101" s="28"/>
      <c r="E101" s="28"/>
      <c r="F101" s="57"/>
      <c r="G101" s="57"/>
      <c r="H101" s="28"/>
      <c r="I101" s="28"/>
      <c r="J101" s="4"/>
    </row>
    <row r="102" spans="1:10" hidden="1">
      <c r="A102" s="4"/>
      <c r="C102" s="28"/>
      <c r="D102" s="28"/>
      <c r="E102" s="28"/>
      <c r="F102" s="57"/>
      <c r="G102" s="57"/>
      <c r="H102" s="28"/>
      <c r="I102" s="28"/>
      <c r="J102" s="4"/>
    </row>
    <row r="103" spans="1:10" hidden="1">
      <c r="A103" s="4"/>
      <c r="B103" s="339" t="s">
        <v>226</v>
      </c>
      <c r="C103" s="6"/>
      <c r="D103" s="6"/>
      <c r="E103" s="28"/>
      <c r="F103" s="94">
        <f>C103-D103</f>
        <v>0</v>
      </c>
      <c r="G103" s="57"/>
      <c r="H103" s="168"/>
      <c r="I103" s="28"/>
      <c r="J103" s="4"/>
    </row>
    <row r="104" spans="1:10" hidden="1">
      <c r="A104" s="4"/>
      <c r="B104" s="339" t="s">
        <v>227</v>
      </c>
      <c r="C104" s="6">
        <f>C24+C29+C34</f>
        <v>7052.5223523747445</v>
      </c>
      <c r="D104" s="6">
        <v>7052.5223523747463</v>
      </c>
      <c r="E104" s="28"/>
      <c r="F104" s="94">
        <f>C104-D104</f>
        <v>0</v>
      </c>
      <c r="G104" s="57"/>
      <c r="H104" s="168"/>
      <c r="I104" s="28"/>
      <c r="J104" s="4"/>
    </row>
    <row r="105" spans="1:10" hidden="1">
      <c r="A105" s="4"/>
      <c r="B105" s="339"/>
      <c r="C105" s="6"/>
      <c r="D105" s="6"/>
      <c r="E105" s="28"/>
      <c r="F105" s="94"/>
      <c r="G105" s="57"/>
      <c r="H105" s="168"/>
      <c r="I105" s="28"/>
      <c r="J105" s="4"/>
    </row>
    <row r="106" spans="1:10" hidden="1">
      <c r="A106" s="4"/>
      <c r="B106" s="243" t="s">
        <v>288</v>
      </c>
      <c r="C106" s="6">
        <f>C69+C80</f>
        <v>0</v>
      </c>
      <c r="D106" s="6">
        <v>0</v>
      </c>
      <c r="E106" s="28"/>
      <c r="F106" s="94">
        <f>C106-D106</f>
        <v>0</v>
      </c>
      <c r="G106" s="57"/>
      <c r="H106" s="168"/>
      <c r="I106" s="28"/>
      <c r="J106" s="4"/>
    </row>
    <row r="107" spans="1:10" hidden="1">
      <c r="A107" s="4"/>
      <c r="B107" s="243" t="s">
        <v>289</v>
      </c>
      <c r="C107" s="6">
        <f>C70+C81</f>
        <v>3315.3347463567106</v>
      </c>
      <c r="D107" s="6">
        <v>3315.3347463567106</v>
      </c>
      <c r="E107" s="28"/>
      <c r="F107" s="94">
        <f>C107-D107</f>
        <v>0</v>
      </c>
      <c r="G107" s="57"/>
      <c r="H107" s="168"/>
      <c r="I107" s="28"/>
      <c r="J107" s="4"/>
    </row>
    <row r="108" spans="1:10" hidden="1">
      <c r="A108" s="4"/>
      <c r="B108" s="243" t="s">
        <v>290</v>
      </c>
      <c r="C108" s="6">
        <f>C74+C85</f>
        <v>0</v>
      </c>
      <c r="D108" s="6">
        <v>0</v>
      </c>
      <c r="E108" s="28"/>
      <c r="F108" s="94">
        <f>C108-D108</f>
        <v>0</v>
      </c>
      <c r="G108" s="57"/>
      <c r="H108" s="168"/>
      <c r="I108" s="28"/>
      <c r="J108" s="4"/>
    </row>
    <row r="109" spans="1:10" hidden="1">
      <c r="A109" s="4"/>
      <c r="B109" s="243" t="s">
        <v>291</v>
      </c>
      <c r="C109" s="6">
        <f>C75+C86</f>
        <v>5346.1904794320653</v>
      </c>
      <c r="D109" s="6">
        <v>5346.1904794320653</v>
      </c>
      <c r="E109" s="28"/>
      <c r="F109" s="94">
        <f>C109-D109</f>
        <v>0</v>
      </c>
      <c r="G109" s="57"/>
      <c r="H109" s="168"/>
      <c r="I109" s="28"/>
      <c r="J109" s="4"/>
    </row>
    <row r="110" spans="1:10" hidden="1">
      <c r="A110" s="4"/>
      <c r="B110" s="243"/>
      <c r="C110" s="6"/>
      <c r="D110" s="6"/>
      <c r="E110" s="28"/>
      <c r="F110" s="254"/>
      <c r="G110" s="57"/>
      <c r="H110" s="168"/>
      <c r="I110" s="28"/>
      <c r="J110" s="4"/>
    </row>
    <row r="111" spans="1:10" hidden="1">
      <c r="A111" s="17" t="s">
        <v>292</v>
      </c>
      <c r="B111" s="98">
        <v>0</v>
      </c>
      <c r="C111" s="6"/>
      <c r="D111" s="6"/>
      <c r="E111" s="28"/>
      <c r="F111" s="254"/>
      <c r="G111" s="57"/>
      <c r="H111" s="168"/>
      <c r="I111" s="28"/>
      <c r="J111" s="4"/>
    </row>
    <row r="112" spans="1:10" hidden="1">
      <c r="A112" s="17" t="s">
        <v>293</v>
      </c>
      <c r="B112" s="98">
        <v>0</v>
      </c>
      <c r="C112" s="6"/>
      <c r="D112" s="6"/>
      <c r="E112" s="28"/>
      <c r="F112" s="254"/>
      <c r="G112" s="57"/>
      <c r="H112" s="168"/>
      <c r="I112" s="28"/>
      <c r="J112" s="4"/>
    </row>
    <row r="113" spans="1:10" hidden="1">
      <c r="A113" s="17" t="s">
        <v>294</v>
      </c>
      <c r="B113" s="98">
        <v>0</v>
      </c>
      <c r="C113" s="6"/>
      <c r="D113" s="6"/>
      <c r="E113" s="28"/>
      <c r="F113" s="254"/>
      <c r="G113" s="57"/>
      <c r="H113" s="168"/>
      <c r="I113" s="28"/>
      <c r="J113" s="4"/>
    </row>
    <row r="114" spans="1:10" hidden="1">
      <c r="A114" s="17" t="s">
        <v>295</v>
      </c>
      <c r="B114" s="98">
        <v>0</v>
      </c>
      <c r="C114" s="6"/>
      <c r="D114" s="6"/>
      <c r="E114" s="28"/>
      <c r="F114" s="254"/>
      <c r="G114" s="57"/>
      <c r="H114" s="168"/>
      <c r="I114" s="28"/>
      <c r="J114" s="4"/>
    </row>
    <row r="115" spans="1:10">
      <c r="A115" s="103"/>
      <c r="B115" s="204"/>
      <c r="C115" s="213"/>
      <c r="D115" s="213"/>
      <c r="E115" s="213"/>
      <c r="F115" s="57"/>
      <c r="G115" s="57"/>
      <c r="H115" s="28"/>
      <c r="I115" s="28"/>
      <c r="J115" s="4"/>
    </row>
    <row r="116" spans="1:10">
      <c r="A116" s="4" t="s">
        <v>230</v>
      </c>
      <c r="C116" s="28"/>
      <c r="D116" s="28"/>
      <c r="E116" s="28"/>
      <c r="F116" s="57"/>
      <c r="G116" s="57"/>
      <c r="H116" s="28"/>
      <c r="I116" s="28"/>
      <c r="J116" s="4"/>
    </row>
    <row r="117" spans="1:10">
      <c r="A117" s="17" t="s">
        <v>795</v>
      </c>
      <c r="C117" s="28"/>
      <c r="D117" s="28"/>
      <c r="E117" s="28"/>
      <c r="F117" s="57"/>
      <c r="G117" s="57"/>
      <c r="H117" s="28"/>
      <c r="I117" s="28"/>
      <c r="J117" s="4"/>
    </row>
    <row r="118" spans="1:10">
      <c r="A118" s="17" t="s">
        <v>788</v>
      </c>
      <c r="C118" s="28"/>
      <c r="D118" s="28"/>
      <c r="E118" s="28"/>
      <c r="F118" s="57"/>
      <c r="G118" s="57"/>
      <c r="H118" s="28"/>
      <c r="I118" s="28"/>
      <c r="J118" s="4"/>
    </row>
    <row r="119" spans="1:10">
      <c r="A119" s="4"/>
      <c r="C119" s="28"/>
      <c r="D119" s="28"/>
      <c r="E119" s="28"/>
      <c r="F119" s="57"/>
      <c r="G119" s="57"/>
      <c r="H119" s="28"/>
      <c r="I119" s="28"/>
      <c r="J119" s="4"/>
    </row>
    <row r="120" spans="1:10">
      <c r="A120" s="4"/>
      <c r="C120" s="28"/>
      <c r="D120" s="28"/>
      <c r="E120" s="28"/>
      <c r="F120" s="57"/>
      <c r="G120" s="57"/>
      <c r="H120" s="28"/>
      <c r="I120" s="28"/>
      <c r="J120" s="4"/>
    </row>
    <row r="121" spans="1:10">
      <c r="A121" s="4"/>
      <c r="C121" s="28"/>
      <c r="D121" s="28"/>
      <c r="E121" s="28"/>
      <c r="F121" s="57"/>
      <c r="G121" s="57"/>
      <c r="H121" s="28"/>
      <c r="I121" s="28"/>
      <c r="J121" s="4"/>
    </row>
    <row r="122" spans="1:10">
      <c r="A122" s="4"/>
      <c r="C122" s="28"/>
      <c r="D122" s="28"/>
      <c r="E122" s="28"/>
      <c r="F122" s="57"/>
      <c r="G122" s="57"/>
      <c r="H122" s="28"/>
      <c r="I122" s="28"/>
      <c r="J122" s="4"/>
    </row>
    <row r="123" spans="1:10">
      <c r="A123" s="4"/>
      <c r="C123" s="28"/>
      <c r="D123" s="28"/>
      <c r="E123" s="28"/>
      <c r="F123" s="57"/>
      <c r="G123" s="57"/>
      <c r="H123" s="28"/>
      <c r="I123" s="28"/>
      <c r="J123" s="4"/>
    </row>
    <row r="124" spans="1:10">
      <c r="A124" s="4"/>
      <c r="C124" s="28"/>
      <c r="D124" s="28"/>
      <c r="E124" s="28"/>
      <c r="F124" s="57"/>
      <c r="G124" s="57"/>
      <c r="H124" s="28"/>
      <c r="I124" s="28"/>
      <c r="J124" s="4"/>
    </row>
    <row r="125" spans="1:10">
      <c r="A125" s="4"/>
      <c r="C125" s="28"/>
      <c r="D125" s="28"/>
      <c r="E125" s="28"/>
      <c r="F125" s="57"/>
      <c r="G125" s="57"/>
      <c r="H125" s="28"/>
      <c r="I125" s="28"/>
      <c r="J125" s="4"/>
    </row>
  </sheetData>
  <phoneticPr fontId="5" type="noConversion"/>
  <printOptions horizontalCentered="1"/>
  <pageMargins left="0.75" right="0.75" top="1" bottom="1" header="0.5" footer="0.5"/>
  <pageSetup fitToHeight="3" orientation="landscape" r:id="rId1"/>
  <headerFooter alignWithMargins="0">
    <oddFooter>&amp;L&amp;F</oddFooter>
  </headerFooter>
  <rowBreaks count="2" manualBreakCount="2">
    <brk id="36" max="16383" man="1"/>
    <brk id="6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K125"/>
  <sheetViews>
    <sheetView zoomScale="70" zoomScaleNormal="70" workbookViewId="0"/>
  </sheetViews>
  <sheetFormatPr baseColWidth="10" defaultColWidth="8.83203125" defaultRowHeight="13"/>
  <cols>
    <col min="1" max="1" width="29.5" customWidth="1"/>
    <col min="2" max="4" width="11.5" customWidth="1"/>
    <col min="5" max="5" width="2.5" customWidth="1"/>
    <col min="6" max="6" width="11.5" customWidth="1"/>
    <col min="7" max="7" width="2.5" customWidth="1"/>
    <col min="8" max="9" width="11.5" customWidth="1"/>
    <col min="11" max="11" width="9.5" bestFit="1" customWidth="1"/>
  </cols>
  <sheetData>
    <row r="1" spans="1:11" ht="15.75" customHeight="1">
      <c r="A1" s="117" t="s">
        <v>554</v>
      </c>
    </row>
    <row r="2" spans="1:11" ht="15.75" customHeight="1">
      <c r="A2" s="117" t="s">
        <v>780</v>
      </c>
    </row>
    <row r="3" spans="1:11" ht="28">
      <c r="B3" s="125" t="s">
        <v>245</v>
      </c>
      <c r="C3" s="138" t="s">
        <v>244</v>
      </c>
      <c r="D3" s="8" t="s">
        <v>99</v>
      </c>
      <c r="E3" s="8"/>
      <c r="F3" s="142" t="s">
        <v>241</v>
      </c>
      <c r="G3" s="65"/>
      <c r="H3" s="119" t="s">
        <v>213</v>
      </c>
      <c r="I3" s="31" t="s">
        <v>128</v>
      </c>
      <c r="J3" s="4"/>
    </row>
    <row r="4" spans="1:11">
      <c r="A4" s="14" t="s">
        <v>286</v>
      </c>
      <c r="B4" s="125"/>
      <c r="C4" s="138"/>
      <c r="D4" s="8"/>
      <c r="E4" s="8"/>
      <c r="F4" s="142"/>
      <c r="G4" s="65"/>
      <c r="H4" s="119"/>
      <c r="I4" s="31"/>
      <c r="J4" s="4"/>
    </row>
    <row r="5" spans="1:11" ht="12.75" customHeight="1">
      <c r="A5" s="66" t="s">
        <v>169</v>
      </c>
      <c r="B5" s="125"/>
      <c r="C5" s="138"/>
      <c r="D5" s="8"/>
      <c r="E5" s="8"/>
      <c r="F5" s="65"/>
      <c r="G5" s="65"/>
      <c r="H5" s="119"/>
      <c r="I5" s="31"/>
      <c r="J5" s="4"/>
    </row>
    <row r="6" spans="1:11">
      <c r="A6" s="59" t="s">
        <v>273</v>
      </c>
      <c r="C6" s="29"/>
      <c r="D6" s="3"/>
      <c r="E6" s="3"/>
      <c r="F6" s="54"/>
      <c r="G6" s="54"/>
      <c r="H6" s="3"/>
      <c r="I6" s="3"/>
      <c r="J6" s="4"/>
    </row>
    <row r="7" spans="1:11" ht="14">
      <c r="A7" s="251" t="s">
        <v>125</v>
      </c>
      <c r="B7" s="75">
        <v>0</v>
      </c>
      <c r="C7" s="36">
        <v>0</v>
      </c>
      <c r="D7" s="61" t="str">
        <f>IF(ISERROR(C7/B7),"n/a",C7/B7)</f>
        <v>n/a</v>
      </c>
      <c r="E7" s="31"/>
      <c r="F7" s="39">
        <v>1.7055951497654467</v>
      </c>
      <c r="G7" s="55"/>
      <c r="H7" s="32">
        <f>C7*F7</f>
        <v>0</v>
      </c>
      <c r="I7" s="61" t="str">
        <f>IF(ISERROR(H7/B7),"n/a",H7/B7)</f>
        <v>n/a</v>
      </c>
      <c r="J7" s="4"/>
      <c r="K7" s="252"/>
    </row>
    <row r="8" spans="1:11">
      <c r="A8" s="250" t="s">
        <v>287</v>
      </c>
      <c r="B8" s="75">
        <v>5674.6243187269156</v>
      </c>
      <c r="C8" s="36">
        <v>1091.2912149335634</v>
      </c>
      <c r="D8" s="61">
        <f>IF(ISERROR(C8/B8),"n/a",C8/B8)</f>
        <v>0.19231074228688169</v>
      </c>
      <c r="E8" s="31"/>
      <c r="F8" s="39">
        <v>1.7055951497654467</v>
      </c>
      <c r="G8" s="55"/>
      <c r="H8" s="32">
        <f>C8*F8</f>
        <v>1861.3010031723275</v>
      </c>
      <c r="I8" s="61">
        <f>IF(ISERROR(H8/B8),"n/a",H8/B8)</f>
        <v>0.3280042692922982</v>
      </c>
      <c r="J8" s="4"/>
    </row>
    <row r="9" spans="1:11">
      <c r="A9" s="251" t="s">
        <v>97</v>
      </c>
      <c r="B9" s="75">
        <f>SUM(B7:B8)</f>
        <v>5674.6243187269156</v>
      </c>
      <c r="C9" s="108">
        <f>SUM(C7:C8)</f>
        <v>1091.2912149335634</v>
      </c>
      <c r="D9" s="61">
        <f>IF(ISERROR(C9/B9),"n/a",C9/B9)</f>
        <v>0.19231074228688169</v>
      </c>
      <c r="E9" s="31"/>
      <c r="F9" s="39"/>
      <c r="G9" s="20"/>
      <c r="H9" s="32">
        <f>SUM(H7:H8)</f>
        <v>1861.3010031723275</v>
      </c>
      <c r="I9" s="61">
        <f>H9/B9</f>
        <v>0.3280042692922982</v>
      </c>
      <c r="J9" s="4"/>
    </row>
    <row r="10" spans="1:11" ht="5" customHeight="1">
      <c r="A10" s="60"/>
      <c r="B10" s="75"/>
      <c r="C10" s="108"/>
      <c r="D10" s="61"/>
      <c r="E10" s="31"/>
      <c r="F10" s="39"/>
      <c r="G10" s="20"/>
      <c r="H10" s="32"/>
      <c r="I10" s="61"/>
      <c r="J10" s="4"/>
    </row>
    <row r="11" spans="1:11">
      <c r="A11" s="59" t="s">
        <v>269</v>
      </c>
      <c r="B11" s="13"/>
      <c r="C11" s="36"/>
      <c r="D11" s="61"/>
      <c r="E11" s="31"/>
      <c r="F11" s="55"/>
      <c r="G11" s="55"/>
      <c r="H11" s="32"/>
      <c r="I11" s="61"/>
      <c r="J11" s="4"/>
    </row>
    <row r="12" spans="1:11" ht="14">
      <c r="A12" s="251" t="s">
        <v>125</v>
      </c>
      <c r="B12" s="75">
        <v>0</v>
      </c>
      <c r="C12" s="36">
        <v>0</v>
      </c>
      <c r="D12" s="61" t="str">
        <f>IF(ISERROR(C12/B12),"n/a",C12/B12)</f>
        <v>n/a</v>
      </c>
      <c r="E12" s="31"/>
      <c r="F12" s="39">
        <v>1.7055951497654467</v>
      </c>
      <c r="G12" s="20"/>
      <c r="H12" s="32">
        <f>C12*F12</f>
        <v>0</v>
      </c>
      <c r="I12" s="61" t="str">
        <f>IF(ISERROR(H12/B12),"n/a",H12/B12)</f>
        <v>n/a</v>
      </c>
      <c r="J12" s="4"/>
    </row>
    <row r="13" spans="1:11">
      <c r="A13" s="250" t="s">
        <v>287</v>
      </c>
      <c r="B13" s="75">
        <v>3033.8469218465275</v>
      </c>
      <c r="C13" s="36">
        <v>583.44135352507669</v>
      </c>
      <c r="D13" s="61">
        <f>IF(ISERROR(C13/B13),"n/a",C13/B13)</f>
        <v>0.19231074228688164</v>
      </c>
      <c r="E13" s="31"/>
      <c r="F13" s="39">
        <v>1.7055951497654467</v>
      </c>
      <c r="G13" s="20"/>
      <c r="H13" s="32">
        <f>C13*F13</f>
        <v>995.11474274495811</v>
      </c>
      <c r="I13" s="61">
        <f>IF(ISERROR(H13/B13),"n/a",H13/B13)</f>
        <v>0.32800426929229809</v>
      </c>
      <c r="J13" s="4"/>
    </row>
    <row r="14" spans="1:11">
      <c r="A14" s="251" t="s">
        <v>97</v>
      </c>
      <c r="B14" s="75">
        <f>SUM(B12:B13)</f>
        <v>3033.8469218465275</v>
      </c>
      <c r="C14" s="108">
        <f>SUM(C12:C13)</f>
        <v>583.44135352507669</v>
      </c>
      <c r="D14" s="61">
        <f>IF(ISERROR(C14/B14),"n/a",C14/B14)</f>
        <v>0.19231074228688164</v>
      </c>
      <c r="E14" s="31"/>
      <c r="F14" s="39"/>
      <c r="G14" s="20"/>
      <c r="H14" s="32">
        <f>SUM(H12:H13)</f>
        <v>995.11474274495811</v>
      </c>
      <c r="I14" s="61">
        <f>H14/B14</f>
        <v>0.32800426929229809</v>
      </c>
      <c r="J14" s="4"/>
    </row>
    <row r="15" spans="1:11" ht="5" customHeight="1">
      <c r="A15" s="60"/>
      <c r="B15" s="75"/>
      <c r="C15" s="108"/>
      <c r="D15" s="61"/>
      <c r="E15" s="31"/>
      <c r="F15" s="39"/>
      <c r="G15" s="20"/>
      <c r="H15" s="32"/>
      <c r="I15" s="61"/>
      <c r="J15" s="4"/>
    </row>
    <row r="16" spans="1:11">
      <c r="A16" s="59" t="s">
        <v>274</v>
      </c>
      <c r="B16" s="75"/>
      <c r="C16" s="36"/>
      <c r="D16" s="63"/>
      <c r="E16" s="63"/>
      <c r="F16" s="39"/>
      <c r="G16" s="39"/>
      <c r="H16" s="36"/>
      <c r="I16" s="63"/>
      <c r="J16" s="4"/>
    </row>
    <row r="17" spans="1:10" ht="14">
      <c r="A17" s="251" t="s">
        <v>125</v>
      </c>
      <c r="B17" s="75">
        <v>0</v>
      </c>
      <c r="C17" s="36">
        <v>0</v>
      </c>
      <c r="D17" s="61" t="str">
        <f>IF(ISERROR(C17/B17),"n/a",C17/B17)</f>
        <v>n/a</v>
      </c>
      <c r="E17" s="31"/>
      <c r="F17" s="39">
        <v>1.7055951497654467</v>
      </c>
      <c r="G17" s="39"/>
      <c r="H17" s="32">
        <f>C17*F17</f>
        <v>0</v>
      </c>
      <c r="I17" s="61" t="str">
        <f>IF(ISERROR(H17/B17),"n/a",H17/B17)</f>
        <v>n/a</v>
      </c>
      <c r="J17" s="4"/>
    </row>
    <row r="18" spans="1:10">
      <c r="A18" s="250" t="s">
        <v>287</v>
      </c>
      <c r="B18" s="75">
        <v>1848.9149180319116</v>
      </c>
      <c r="C18" s="36">
        <v>355.56620031200578</v>
      </c>
      <c r="D18" s="61">
        <f>IF(ISERROR(C18/B18),"n/a",C18/B18)</f>
        <v>0.19231074228688161</v>
      </c>
      <c r="E18" s="31"/>
      <c r="F18" s="39">
        <v>1.7055951497654467</v>
      </c>
      <c r="G18" s="39"/>
      <c r="H18" s="32">
        <f>C18*F18</f>
        <v>606.4519866726863</v>
      </c>
      <c r="I18" s="61">
        <f>IF(ISERROR(H18/B18),"n/a",H18/B18)</f>
        <v>0.32800426929229803</v>
      </c>
      <c r="J18" s="4"/>
    </row>
    <row r="19" spans="1:10">
      <c r="A19" s="251" t="s">
        <v>97</v>
      </c>
      <c r="B19" s="75">
        <f>SUM(B17:B18)</f>
        <v>1848.9149180319116</v>
      </c>
      <c r="C19" s="108">
        <f>SUM(C17:C18)</f>
        <v>355.56620031200578</v>
      </c>
      <c r="D19" s="61">
        <f>IF(ISERROR(C19/B19),"n/a",C19/B19)</f>
        <v>0.19231074228688161</v>
      </c>
      <c r="E19" s="31"/>
      <c r="F19" s="39"/>
      <c r="G19" s="20"/>
      <c r="H19" s="32">
        <f>SUM(H17:H18)</f>
        <v>606.4519866726863</v>
      </c>
      <c r="I19" s="61">
        <f>H19/B19</f>
        <v>0.32800426929229803</v>
      </c>
      <c r="J19" s="4"/>
    </row>
    <row r="20" spans="1:10">
      <c r="A20" s="4"/>
      <c r="B20" s="75"/>
      <c r="C20" s="108"/>
      <c r="D20" s="61"/>
      <c r="E20" s="31"/>
      <c r="F20" s="39"/>
      <c r="G20" s="20"/>
      <c r="H20" s="32"/>
      <c r="I20" s="61"/>
      <c r="J20" s="4"/>
    </row>
    <row r="21" spans="1:10">
      <c r="A21" s="66" t="s">
        <v>170</v>
      </c>
      <c r="B21" s="13"/>
      <c r="C21" s="36"/>
      <c r="D21" s="63"/>
      <c r="E21" s="35"/>
      <c r="F21" s="56"/>
      <c r="G21" s="56"/>
      <c r="H21" s="36"/>
      <c r="I21" s="63"/>
      <c r="J21" s="4"/>
    </row>
    <row r="22" spans="1:10">
      <c r="A22" s="59" t="s">
        <v>273</v>
      </c>
      <c r="B22" s="20"/>
      <c r="C22" s="36"/>
      <c r="D22" s="63"/>
      <c r="E22" s="20"/>
      <c r="F22" s="20"/>
      <c r="G22" s="20"/>
      <c r="H22" s="36"/>
      <c r="I22" s="63"/>
      <c r="J22" s="4"/>
    </row>
    <row r="23" spans="1:10" ht="14">
      <c r="A23" s="251" t="s">
        <v>125</v>
      </c>
      <c r="B23" s="75">
        <v>0</v>
      </c>
      <c r="C23" s="36">
        <f>D23*B23</f>
        <v>0</v>
      </c>
      <c r="D23" s="61">
        <v>0</v>
      </c>
      <c r="E23" s="31"/>
      <c r="F23" s="39">
        <v>1.7055951497654467</v>
      </c>
      <c r="G23" s="20"/>
      <c r="H23" s="32">
        <f>C23*F23</f>
        <v>0</v>
      </c>
      <c r="I23" s="61" t="str">
        <f>IF(ISERROR(H23/B23),"n/a",H23/B23)</f>
        <v>n/a</v>
      </c>
      <c r="J23" s="4"/>
    </row>
    <row r="24" spans="1:10">
      <c r="A24" s="250" t="s">
        <v>287</v>
      </c>
      <c r="B24" s="75">
        <v>1297.3823833564529</v>
      </c>
      <c r="C24" s="36">
        <f>D24*B24</f>
        <v>458.80981177301862</v>
      </c>
      <c r="D24" s="61">
        <v>0.35364270215079807</v>
      </c>
      <c r="E24" s="31"/>
      <c r="F24" s="39">
        <v>1.7055951497654467</v>
      </c>
      <c r="G24" s="20"/>
      <c r="H24" s="32">
        <f>C24*F24</f>
        <v>782.54378962485805</v>
      </c>
      <c r="I24" s="61">
        <f>IF(ISERROR(H24/B24),"n/a",H24/B24)</f>
        <v>0.60317127753834765</v>
      </c>
      <c r="J24" s="4"/>
    </row>
    <row r="25" spans="1:10">
      <c r="A25" s="251" t="s">
        <v>97</v>
      </c>
      <c r="B25" s="75">
        <f>SUM(B23:B24)</f>
        <v>1297.3823833564529</v>
      </c>
      <c r="C25" s="108">
        <f>SUM(C23:C24)</f>
        <v>458.80981177301862</v>
      </c>
      <c r="D25" s="61">
        <f>IF(ISERROR(C25/B25),"n/a",C25/B25)</f>
        <v>0.35364270215079807</v>
      </c>
      <c r="E25" s="31"/>
      <c r="F25" s="39"/>
      <c r="G25" s="20"/>
      <c r="H25" s="32">
        <f>SUM(H23:H24)</f>
        <v>782.54378962485805</v>
      </c>
      <c r="I25" s="61">
        <f>H25/B25</f>
        <v>0.60317127753834765</v>
      </c>
      <c r="J25" s="4"/>
    </row>
    <row r="26" spans="1:10" ht="5" customHeight="1">
      <c r="A26" s="60"/>
      <c r="B26" s="13"/>
      <c r="C26" s="36"/>
      <c r="D26" s="63"/>
      <c r="E26" s="35"/>
      <c r="F26" s="56"/>
      <c r="G26" s="56"/>
      <c r="H26" s="36"/>
      <c r="I26" s="63"/>
      <c r="J26" s="4"/>
    </row>
    <row r="27" spans="1:10">
      <c r="A27" s="59" t="s">
        <v>269</v>
      </c>
      <c r="B27" s="20"/>
      <c r="C27" s="36"/>
      <c r="D27" s="63"/>
      <c r="E27" s="20"/>
      <c r="F27" s="20"/>
      <c r="G27" s="20"/>
      <c r="H27" s="36"/>
      <c r="I27" s="63"/>
      <c r="J27" s="4"/>
    </row>
    <row r="28" spans="1:10" ht="14">
      <c r="A28" s="251" t="s">
        <v>125</v>
      </c>
      <c r="B28" s="75">
        <v>0</v>
      </c>
      <c r="C28" s="36">
        <f>D28*B28</f>
        <v>0</v>
      </c>
      <c r="D28" s="61">
        <v>0</v>
      </c>
      <c r="E28" s="31"/>
      <c r="F28" s="39">
        <v>1.7055951497654467</v>
      </c>
      <c r="G28" s="56"/>
      <c r="H28" s="32">
        <f>C28*F28</f>
        <v>0</v>
      </c>
      <c r="I28" s="61" t="str">
        <f>IF(ISERROR(H28/B28),"n/a",H28/B28)</f>
        <v>n/a</v>
      </c>
      <c r="J28" s="4"/>
    </row>
    <row r="29" spans="1:10">
      <c r="A29" s="250" t="s">
        <v>287</v>
      </c>
      <c r="B29" s="75">
        <v>71.685642603765785</v>
      </c>
      <c r="C29" s="36">
        <f>D29*B29</f>
        <v>25.351104355812101</v>
      </c>
      <c r="D29" s="61">
        <v>0.35364270215079802</v>
      </c>
      <c r="E29" s="31"/>
      <c r="F29" s="39">
        <v>1.7055951497654467</v>
      </c>
      <c r="G29" s="56"/>
      <c r="H29" s="32">
        <f>C29*F29</f>
        <v>43.238720630470809</v>
      </c>
      <c r="I29" s="61">
        <f>IF(ISERROR(H29/B29),"n/a",H29/B29)</f>
        <v>0.60317127753834765</v>
      </c>
      <c r="J29" s="4"/>
    </row>
    <row r="30" spans="1:10">
      <c r="A30" s="251" t="s">
        <v>97</v>
      </c>
      <c r="B30" s="75">
        <f>SUM(B28:B29)</f>
        <v>71.685642603765785</v>
      </c>
      <c r="C30" s="108">
        <f>SUM(C28:C29)</f>
        <v>25.351104355812101</v>
      </c>
      <c r="D30" s="61">
        <f>IF(ISERROR(C30/B30),"n/a",C30/B30)</f>
        <v>0.35364270215079802</v>
      </c>
      <c r="E30" s="31"/>
      <c r="F30" s="39"/>
      <c r="G30" s="20"/>
      <c r="H30" s="32">
        <f>SUM(H28:H29)</f>
        <v>43.238720630470809</v>
      </c>
      <c r="I30" s="61">
        <f>IF(ISERROR(H30/B30),"n/a",H30/B30)</f>
        <v>0.60317127753834765</v>
      </c>
      <c r="J30" s="4"/>
    </row>
    <row r="31" spans="1:10" ht="5" customHeight="1">
      <c r="A31" s="60"/>
      <c r="B31" s="13"/>
      <c r="C31" s="36"/>
      <c r="D31" s="63"/>
      <c r="E31" s="35"/>
      <c r="F31" s="56"/>
      <c r="G31" s="56"/>
      <c r="H31" s="36"/>
      <c r="I31" s="63"/>
      <c r="J31" s="4"/>
    </row>
    <row r="32" spans="1:10">
      <c r="A32" s="59" t="s">
        <v>274</v>
      </c>
      <c r="B32" s="13"/>
      <c r="C32" s="36"/>
      <c r="D32" s="63"/>
      <c r="E32" s="35"/>
      <c r="F32" s="56"/>
      <c r="G32" s="56"/>
      <c r="H32" s="36"/>
      <c r="I32" s="63"/>
      <c r="J32" s="4"/>
    </row>
    <row r="33" spans="1:10" ht="14">
      <c r="A33" s="251" t="s">
        <v>125</v>
      </c>
      <c r="B33" s="75">
        <v>0</v>
      </c>
      <c r="C33" s="36">
        <f>D33*B33</f>
        <v>0</v>
      </c>
      <c r="D33" s="61">
        <v>0</v>
      </c>
      <c r="E33" s="31"/>
      <c r="F33" s="39">
        <v>1.7055951497654467</v>
      </c>
      <c r="G33" s="56"/>
      <c r="H33" s="32">
        <f>C33*F33</f>
        <v>0</v>
      </c>
      <c r="I33" s="61" t="str">
        <f>IF(ISERROR(H33/B33),"n/a",H33/B33)</f>
        <v>n/a</v>
      </c>
      <c r="J33" s="4"/>
    </row>
    <row r="34" spans="1:10">
      <c r="A34" s="250" t="s">
        <v>287</v>
      </c>
      <c r="B34" s="75">
        <v>1724.2606690397809</v>
      </c>
      <c r="C34" s="36">
        <f>D34*B34</f>
        <v>609.77220221157097</v>
      </c>
      <c r="D34" s="61">
        <v>0.35364270215079802</v>
      </c>
      <c r="E34" s="31"/>
      <c r="F34" s="39">
        <v>1.7055951497654467</v>
      </c>
      <c r="G34" s="56"/>
      <c r="H34" s="32">
        <f>C34*F34</f>
        <v>1040.0245105538506</v>
      </c>
      <c r="I34" s="61">
        <f>IF(ISERROR(H34/B34),"n/a",H34/B34)</f>
        <v>0.60317127753834765</v>
      </c>
      <c r="J34" s="4"/>
    </row>
    <row r="35" spans="1:10">
      <c r="A35" s="251" t="s">
        <v>97</v>
      </c>
      <c r="B35" s="75">
        <f>SUM(B33:B34)</f>
        <v>1724.2606690397809</v>
      </c>
      <c r="C35" s="108">
        <f>SUM(C33:C34)</f>
        <v>609.77220221157097</v>
      </c>
      <c r="D35" s="61">
        <f>IF(ISERROR(C35/B35),"n/a",C35/B35)</f>
        <v>0.35364270215079802</v>
      </c>
      <c r="E35" s="31"/>
      <c r="F35" s="39"/>
      <c r="G35" s="20"/>
      <c r="H35" s="32">
        <f>SUM(H33:H34)</f>
        <v>1040.0245105538506</v>
      </c>
      <c r="I35" s="61">
        <f>H35/B35</f>
        <v>0.60317127753834765</v>
      </c>
      <c r="J35" s="4"/>
    </row>
    <row r="36" spans="1:10">
      <c r="A36" s="60"/>
      <c r="B36" s="75"/>
      <c r="C36" s="36"/>
      <c r="D36" s="61"/>
      <c r="E36" s="31"/>
      <c r="F36" s="39"/>
      <c r="G36" s="56"/>
      <c r="H36" s="32"/>
      <c r="I36" s="61"/>
      <c r="J36" s="4"/>
    </row>
    <row r="37" spans="1:10" ht="16">
      <c r="A37" s="117" t="s">
        <v>645</v>
      </c>
      <c r="J37" s="4"/>
    </row>
    <row r="38" spans="1:10" ht="16">
      <c r="A38" s="117" t="s">
        <v>780</v>
      </c>
      <c r="J38" s="4"/>
    </row>
    <row r="39" spans="1:10" ht="28">
      <c r="B39" s="125" t="s">
        <v>245</v>
      </c>
      <c r="C39" s="138" t="s">
        <v>244</v>
      </c>
      <c r="D39" s="8" t="s">
        <v>99</v>
      </c>
      <c r="E39" s="8"/>
      <c r="F39" s="142" t="s">
        <v>241</v>
      </c>
      <c r="G39" s="65"/>
      <c r="H39" s="119" t="s">
        <v>213</v>
      </c>
      <c r="I39" s="31" t="s">
        <v>128</v>
      </c>
      <c r="J39" s="4"/>
    </row>
    <row r="40" spans="1:10">
      <c r="A40" s="14" t="s">
        <v>285</v>
      </c>
      <c r="B40" s="13"/>
      <c r="C40" s="36"/>
      <c r="D40" s="63"/>
      <c r="E40" s="35"/>
      <c r="F40" s="56"/>
      <c r="G40" s="56"/>
      <c r="H40" s="36"/>
      <c r="I40" s="63"/>
      <c r="J40" s="4"/>
    </row>
    <row r="41" spans="1:10">
      <c r="A41" s="66" t="s">
        <v>165</v>
      </c>
      <c r="B41" s="20"/>
      <c r="C41" s="36"/>
      <c r="D41" s="63"/>
      <c r="E41" s="20"/>
      <c r="F41" s="20"/>
      <c r="G41" s="20"/>
      <c r="H41" s="36"/>
      <c r="I41" s="63"/>
      <c r="J41" s="4"/>
    </row>
    <row r="42" spans="1:10">
      <c r="A42" s="59" t="s">
        <v>284</v>
      </c>
      <c r="B42" s="75"/>
      <c r="C42" s="36"/>
      <c r="D42" s="61"/>
      <c r="E42" s="31"/>
      <c r="F42" s="39"/>
      <c r="G42" s="55"/>
      <c r="H42" s="32"/>
      <c r="I42" s="61"/>
      <c r="J42" s="4"/>
    </row>
    <row r="43" spans="1:10" ht="14">
      <c r="A43" s="251" t="s">
        <v>125</v>
      </c>
      <c r="B43" s="75">
        <v>0</v>
      </c>
      <c r="C43" s="36">
        <v>0</v>
      </c>
      <c r="D43" s="61" t="str">
        <f>IF(ISERROR(C43/B43),"n/a",C43/B43)</f>
        <v>n/a</v>
      </c>
      <c r="E43" s="31"/>
      <c r="F43" s="39">
        <v>1.7055951497654467</v>
      </c>
      <c r="G43" s="20"/>
      <c r="H43" s="32">
        <f>C43*F43</f>
        <v>0</v>
      </c>
      <c r="I43" s="61" t="str">
        <f>IF(ISERROR(H43/B43),"n/a",H43/B43)</f>
        <v>n/a</v>
      </c>
      <c r="J43" s="4"/>
    </row>
    <row r="44" spans="1:10" ht="14">
      <c r="A44" s="250" t="s">
        <v>287</v>
      </c>
      <c r="B44" s="75">
        <v>0</v>
      </c>
      <c r="C44" s="36">
        <v>0</v>
      </c>
      <c r="D44" s="61" t="str">
        <f>IF(ISERROR(C44/B44),"n/a",C44/B44)</f>
        <v>n/a</v>
      </c>
      <c r="E44" s="31"/>
      <c r="F44" s="39">
        <v>1.7055951497654467</v>
      </c>
      <c r="G44" s="20"/>
      <c r="H44" s="32">
        <f>C44*F44</f>
        <v>0</v>
      </c>
      <c r="I44" s="61" t="str">
        <f>IF(ISERROR(H44/B44),"n/a",H44/B44)</f>
        <v>n/a</v>
      </c>
      <c r="J44" s="4"/>
    </row>
    <row r="45" spans="1:10" ht="14">
      <c r="A45" s="251" t="s">
        <v>97</v>
      </c>
      <c r="B45" s="75">
        <f>SUM(B43:B44)</f>
        <v>0</v>
      </c>
      <c r="C45" s="108">
        <f>SUM(C43:C44)</f>
        <v>0</v>
      </c>
      <c r="D45" s="61" t="str">
        <f>IF(ISERROR(C45/B45),"n/a",C45/B45)</f>
        <v>n/a</v>
      </c>
      <c r="E45" s="31"/>
      <c r="F45" s="39"/>
      <c r="G45" s="20"/>
      <c r="H45" s="32">
        <f>SUM(H43:H44)</f>
        <v>0</v>
      </c>
      <c r="I45" s="61" t="str">
        <f>IF(ISERROR(H45/B45),"n/a",H45/B45)</f>
        <v>n/a</v>
      </c>
      <c r="J45" s="4"/>
    </row>
    <row r="46" spans="1:10" ht="5" customHeight="1">
      <c r="A46" s="80"/>
      <c r="B46" s="75"/>
      <c r="C46" s="108"/>
      <c r="D46" s="61"/>
      <c r="E46" s="31"/>
      <c r="F46" s="39"/>
      <c r="G46" s="20"/>
      <c r="H46" s="32"/>
      <c r="I46" s="61"/>
      <c r="J46" s="4"/>
    </row>
    <row r="47" spans="1:10">
      <c r="A47" s="59" t="s">
        <v>163</v>
      </c>
      <c r="B47" s="75"/>
      <c r="C47" s="36"/>
      <c r="D47" s="61"/>
      <c r="E47" s="31"/>
      <c r="F47" s="39"/>
      <c r="G47" s="20"/>
      <c r="H47" s="32"/>
      <c r="I47" s="61"/>
      <c r="J47" s="4"/>
    </row>
    <row r="48" spans="1:10" ht="14">
      <c r="A48" s="251" t="s">
        <v>125</v>
      </c>
      <c r="B48" s="75">
        <v>0</v>
      </c>
      <c r="C48" s="36">
        <v>0</v>
      </c>
      <c r="D48" s="61" t="str">
        <f>IF(ISERROR(C48/B48),"n/a",C48/B48)</f>
        <v>n/a</v>
      </c>
      <c r="E48" s="31"/>
      <c r="F48" s="39">
        <v>1.7055951497654467</v>
      </c>
      <c r="G48" s="55"/>
      <c r="H48" s="32">
        <f>C48*F48</f>
        <v>0</v>
      </c>
      <c r="I48" s="61" t="str">
        <f>IF(ISERROR(H48/B48),"n/a",H48/B48)</f>
        <v>n/a</v>
      </c>
      <c r="J48" s="4"/>
    </row>
    <row r="49" spans="1:10" ht="14">
      <c r="A49" s="250" t="s">
        <v>287</v>
      </c>
      <c r="B49" s="75">
        <v>0</v>
      </c>
      <c r="C49" s="36">
        <v>0</v>
      </c>
      <c r="D49" s="61" t="str">
        <f>IF(ISERROR(C49/B49),"n/a",C49/B49)</f>
        <v>n/a</v>
      </c>
      <c r="E49" s="31"/>
      <c r="F49" s="39">
        <v>1.7055951497654467</v>
      </c>
      <c r="G49" s="55"/>
      <c r="H49" s="32">
        <f>C49*F49</f>
        <v>0</v>
      </c>
      <c r="I49" s="61" t="str">
        <f>IF(ISERROR(H49/B49),"n/a",H49/B49)</f>
        <v>n/a</v>
      </c>
      <c r="J49" s="4"/>
    </row>
    <row r="50" spans="1:10" ht="14">
      <c r="A50" s="251" t="s">
        <v>97</v>
      </c>
      <c r="B50" s="75">
        <f>SUM(B48:B49)</f>
        <v>0</v>
      </c>
      <c r="C50" s="108">
        <f>SUM(C48:C49)</f>
        <v>0</v>
      </c>
      <c r="D50" s="61" t="str">
        <f>IF(ISERROR(C50/B50),"n/a",C50/B50)</f>
        <v>n/a</v>
      </c>
      <c r="E50" s="31"/>
      <c r="F50" s="39"/>
      <c r="G50" s="20"/>
      <c r="H50" s="32">
        <f>SUM(H48:H49)</f>
        <v>0</v>
      </c>
      <c r="I50" s="61" t="str">
        <f>IF(ISERROR(H50/B50),"n/a",H50/B50)</f>
        <v>n/a</v>
      </c>
      <c r="J50" s="4"/>
    </row>
    <row r="51" spans="1:10" ht="5" customHeight="1">
      <c r="A51" s="80"/>
      <c r="B51" s="75"/>
      <c r="C51" s="108"/>
      <c r="D51" s="61"/>
      <c r="E51" s="31"/>
      <c r="F51" s="39"/>
      <c r="G51" s="20"/>
      <c r="H51" s="32"/>
      <c r="I51" s="61"/>
      <c r="J51" s="4"/>
    </row>
    <row r="52" spans="1:10">
      <c r="A52" s="66" t="s">
        <v>164</v>
      </c>
      <c r="B52" s="13"/>
      <c r="C52" s="36"/>
      <c r="D52" s="63"/>
      <c r="E52" s="35"/>
      <c r="F52" s="56"/>
      <c r="G52" s="56"/>
      <c r="H52" s="36"/>
      <c r="I52" s="63"/>
      <c r="J52" s="4"/>
    </row>
    <row r="53" spans="1:10">
      <c r="A53" s="59" t="s">
        <v>284</v>
      </c>
      <c r="B53" s="13"/>
      <c r="C53" s="36"/>
      <c r="D53" s="63"/>
      <c r="E53" s="35"/>
      <c r="F53" s="56"/>
      <c r="G53" s="56"/>
      <c r="H53" s="36"/>
      <c r="I53" s="63"/>
      <c r="J53" s="4"/>
    </row>
    <row r="54" spans="1:10" ht="14">
      <c r="A54" s="251" t="s">
        <v>125</v>
      </c>
      <c r="B54" s="75">
        <v>0</v>
      </c>
      <c r="C54" s="36">
        <v>0</v>
      </c>
      <c r="D54" s="61" t="str">
        <f>IF(ISERROR(C54/B54),"n/a",C54/B54)</f>
        <v>n/a</v>
      </c>
      <c r="E54" s="31"/>
      <c r="F54" s="39">
        <v>1.7055951497654467</v>
      </c>
      <c r="G54" s="55"/>
      <c r="H54" s="32">
        <f>IF(B54=0,0,C54*F54)</f>
        <v>0</v>
      </c>
      <c r="I54" s="61" t="str">
        <f>IF(ISERROR(H54/B54),"n/a",H54/B54)</f>
        <v>n/a</v>
      </c>
      <c r="J54" s="4"/>
    </row>
    <row r="55" spans="1:10" ht="14">
      <c r="A55" s="250" t="s">
        <v>287</v>
      </c>
      <c r="B55" s="75">
        <v>0</v>
      </c>
      <c r="C55" s="36">
        <v>0</v>
      </c>
      <c r="D55" s="61" t="str">
        <f>IF(ISERROR(C55/B55),"n/a",C55/B55)</f>
        <v>n/a</v>
      </c>
      <c r="E55" s="31"/>
      <c r="F55" s="39">
        <v>1.7055951497654467</v>
      </c>
      <c r="G55" s="55"/>
      <c r="H55" s="32">
        <f>C55*F55</f>
        <v>0</v>
      </c>
      <c r="I55" s="61" t="str">
        <f>IF(ISERROR(H55/B55),"n/a",H55/B55)</f>
        <v>n/a</v>
      </c>
      <c r="J55" s="4"/>
    </row>
    <row r="56" spans="1:10" ht="14">
      <c r="A56" s="251" t="s">
        <v>97</v>
      </c>
      <c r="B56" s="75">
        <f>SUM(B54:B55)</f>
        <v>0</v>
      </c>
      <c r="C56" s="108">
        <f>SUM(C54:C55)</f>
        <v>0</v>
      </c>
      <c r="D56" s="61" t="str">
        <f>IF(ISERROR(C56/B56),"n/a",C56/B56)</f>
        <v>n/a</v>
      </c>
      <c r="E56" s="31"/>
      <c r="F56" s="39"/>
      <c r="G56" s="20"/>
      <c r="H56" s="32">
        <f>SUM(H54:H55)</f>
        <v>0</v>
      </c>
      <c r="I56" s="61" t="str">
        <f>IF(ISERROR(H56/B56),"n/a",H56/B56)</f>
        <v>n/a</v>
      </c>
      <c r="J56" s="4"/>
    </row>
    <row r="57" spans="1:10" ht="5" customHeight="1">
      <c r="A57" s="80"/>
      <c r="B57" s="75"/>
      <c r="C57" s="108"/>
      <c r="D57" s="61"/>
      <c r="E57" s="31"/>
      <c r="F57" s="39"/>
      <c r="G57" s="20"/>
      <c r="H57" s="32"/>
      <c r="I57" s="61"/>
      <c r="J57" s="4"/>
    </row>
    <row r="58" spans="1:10">
      <c r="A58" s="59" t="s">
        <v>163</v>
      </c>
      <c r="B58" s="13"/>
      <c r="C58" s="36"/>
      <c r="D58" s="63"/>
      <c r="E58" s="35"/>
      <c r="F58" s="56"/>
      <c r="G58" s="56"/>
      <c r="H58" s="36"/>
      <c r="I58" s="63"/>
      <c r="J58" s="4"/>
    </row>
    <row r="59" spans="1:10" ht="14">
      <c r="A59" s="251" t="s">
        <v>125</v>
      </c>
      <c r="B59" s="75">
        <v>0</v>
      </c>
      <c r="C59" s="36">
        <v>0</v>
      </c>
      <c r="D59" s="61" t="str">
        <f>IF(ISERROR(C59/B59),"n/a",C59/B59)</f>
        <v>n/a</v>
      </c>
      <c r="E59" s="31"/>
      <c r="F59" s="39">
        <v>1.7055951497654467</v>
      </c>
      <c r="G59" s="55"/>
      <c r="H59" s="32">
        <f>C59*F59</f>
        <v>0</v>
      </c>
      <c r="I59" s="61" t="str">
        <f>IF(ISERROR(H59/B59),"n/a",H59/B59)</f>
        <v>n/a</v>
      </c>
      <c r="J59" s="4"/>
    </row>
    <row r="60" spans="1:10" ht="14">
      <c r="A60" s="250" t="s">
        <v>287</v>
      </c>
      <c r="B60" s="75">
        <v>0</v>
      </c>
      <c r="C60" s="36">
        <v>0</v>
      </c>
      <c r="D60" s="61" t="str">
        <f>IF(ISERROR(C60/B60),"n/a",C60/B60)</f>
        <v>n/a</v>
      </c>
      <c r="E60" s="31"/>
      <c r="F60" s="39">
        <v>1.7055951497654467</v>
      </c>
      <c r="G60" s="55"/>
      <c r="H60" s="32">
        <f>C60*F60</f>
        <v>0</v>
      </c>
      <c r="I60" s="61" t="str">
        <f>IF(ISERROR(H60/B60),"n/a",H60/B60)</f>
        <v>n/a</v>
      </c>
      <c r="J60" s="4"/>
    </row>
    <row r="61" spans="1:10" ht="14">
      <c r="A61" s="251" t="s">
        <v>97</v>
      </c>
      <c r="B61" s="75">
        <f>SUM(B59:B60)</f>
        <v>0</v>
      </c>
      <c r="C61" s="108">
        <f>SUM(C59:C60)</f>
        <v>0</v>
      </c>
      <c r="D61" s="61" t="str">
        <f>IF(ISERROR(C61/B61),"n/a",C61/B61)</f>
        <v>n/a</v>
      </c>
      <c r="E61" s="31"/>
      <c r="F61" s="39"/>
      <c r="G61" s="20"/>
      <c r="H61" s="32">
        <f>SUM(H59:H60)</f>
        <v>0</v>
      </c>
      <c r="I61" s="61" t="str">
        <f>IF(ISERROR(H61/B61),"n/a",H61/B61)</f>
        <v>n/a</v>
      </c>
      <c r="J61" s="4"/>
    </row>
    <row r="62" spans="1:10">
      <c r="A62" s="251"/>
      <c r="B62" s="75"/>
      <c r="C62" s="108"/>
      <c r="D62" s="61"/>
      <c r="E62" s="31"/>
      <c r="F62" s="39"/>
      <c r="G62" s="20"/>
      <c r="H62" s="32"/>
      <c r="I62" s="61"/>
      <c r="J62" s="4"/>
    </row>
    <row r="63" spans="1:10" ht="16">
      <c r="A63" s="117" t="s">
        <v>646</v>
      </c>
      <c r="J63" s="4"/>
    </row>
    <row r="64" spans="1:10" ht="16">
      <c r="A64" s="117" t="s">
        <v>780</v>
      </c>
      <c r="J64" s="4"/>
    </row>
    <row r="65" spans="1:10" ht="28">
      <c r="B65" s="125" t="s">
        <v>245</v>
      </c>
      <c r="C65" s="138" t="s">
        <v>244</v>
      </c>
      <c r="D65" s="8" t="s">
        <v>99</v>
      </c>
      <c r="E65" s="8"/>
      <c r="F65" s="142" t="s">
        <v>241</v>
      </c>
      <c r="G65" s="65"/>
      <c r="H65" s="119" t="s">
        <v>213</v>
      </c>
      <c r="I65" s="31" t="s">
        <v>128</v>
      </c>
      <c r="J65" s="4"/>
    </row>
    <row r="66" spans="1:10">
      <c r="A66" s="14" t="s">
        <v>776</v>
      </c>
      <c r="B66" s="125"/>
      <c r="C66" s="138"/>
      <c r="D66" s="8"/>
      <c r="E66" s="8"/>
      <c r="F66" s="142"/>
      <c r="G66" s="65"/>
      <c r="H66" s="119"/>
      <c r="I66" s="31"/>
      <c r="J66" s="4"/>
    </row>
    <row r="67" spans="1:10">
      <c r="A67" s="66" t="s">
        <v>169</v>
      </c>
      <c r="B67" s="75"/>
      <c r="C67" s="108"/>
      <c r="D67" s="61"/>
      <c r="E67" s="31"/>
      <c r="F67" s="39"/>
      <c r="G67" s="20"/>
      <c r="H67" s="32"/>
      <c r="I67" s="61"/>
      <c r="J67" s="4"/>
    </row>
    <row r="68" spans="1:10">
      <c r="A68" s="60" t="s">
        <v>269</v>
      </c>
      <c r="B68" s="75"/>
      <c r="C68" s="108"/>
      <c r="D68" s="61"/>
      <c r="E68" s="31"/>
      <c r="F68" s="39"/>
      <c r="G68" s="20"/>
      <c r="H68" s="32"/>
      <c r="I68" s="61"/>
      <c r="J68" s="4"/>
    </row>
    <row r="69" spans="1:10" ht="14">
      <c r="A69" s="251" t="s">
        <v>125</v>
      </c>
      <c r="B69" s="75">
        <v>0</v>
      </c>
      <c r="C69" s="36">
        <v>0</v>
      </c>
      <c r="D69" s="61" t="str">
        <f>IF(ISERROR(C69/B69),"n/a",C69/B69)</f>
        <v>n/a</v>
      </c>
      <c r="E69" s="31"/>
      <c r="F69" s="39">
        <v>1.7055951497654467</v>
      </c>
      <c r="G69" s="20"/>
      <c r="H69" s="32">
        <f>C69*F69</f>
        <v>0</v>
      </c>
      <c r="I69" s="61" t="str">
        <f>IF(ISERROR(H69/B69),"n/a",H69/B69)</f>
        <v>n/a</v>
      </c>
      <c r="J69" s="4"/>
    </row>
    <row r="70" spans="1:10">
      <c r="A70" s="250" t="s">
        <v>287</v>
      </c>
      <c r="B70" s="75">
        <v>2024.0187710972511</v>
      </c>
      <c r="C70" s="36">
        <v>31.350818564909673</v>
      </c>
      <c r="D70" s="61">
        <f>IF(ISERROR(C70/B70),"n/a",C70/B70)</f>
        <v>1.5489391211482649E-2</v>
      </c>
      <c r="E70" s="31"/>
      <c r="F70" s="39">
        <v>1.7055951497654467</v>
      </c>
      <c r="G70" s="20"/>
      <c r="H70" s="32">
        <f>C70*F70</f>
        <v>53.471804085486461</v>
      </c>
      <c r="I70" s="61">
        <f>IF(ISERROR(H70/B70),"n/a",H70/B70)</f>
        <v>2.6418630523124341E-2</v>
      </c>
      <c r="J70" s="4"/>
    </row>
    <row r="71" spans="1:10">
      <c r="A71" s="251" t="s">
        <v>97</v>
      </c>
      <c r="B71" s="75">
        <f>SUM(B69:B70)</f>
        <v>2024.0187710972511</v>
      </c>
      <c r="C71" s="36">
        <f>SUM(C69:C70)</f>
        <v>31.350818564909673</v>
      </c>
      <c r="D71" s="61">
        <f>IF(ISERROR(C71/B71),"n/a",C71/B71)</f>
        <v>1.5489391211482649E-2</v>
      </c>
      <c r="E71" s="31"/>
      <c r="F71" s="39"/>
      <c r="G71" s="20"/>
      <c r="H71" s="32">
        <f>SUM(H69:H70)</f>
        <v>53.471804085486461</v>
      </c>
      <c r="I71" s="61">
        <f>H71/B71</f>
        <v>2.6418630523124341E-2</v>
      </c>
      <c r="J71" s="4"/>
    </row>
    <row r="72" spans="1:10" ht="5" customHeight="1">
      <c r="A72" s="80"/>
      <c r="B72" s="75"/>
      <c r="C72" s="108"/>
      <c r="D72" s="61"/>
      <c r="E72" s="31"/>
      <c r="F72" s="39"/>
      <c r="G72" s="20"/>
      <c r="H72" s="32"/>
      <c r="I72" s="61"/>
      <c r="J72" s="4"/>
    </row>
    <row r="73" spans="1:10">
      <c r="A73" s="59" t="s">
        <v>274</v>
      </c>
      <c r="B73" s="75"/>
      <c r="C73" s="108"/>
      <c r="D73" s="61"/>
      <c r="E73" s="31"/>
      <c r="F73" s="39"/>
      <c r="G73" s="20"/>
      <c r="H73" s="32"/>
      <c r="I73" s="61"/>
      <c r="J73" s="4"/>
    </row>
    <row r="74" spans="1:10" ht="14">
      <c r="A74" s="251" t="s">
        <v>125</v>
      </c>
      <c r="B74" s="75">
        <v>0</v>
      </c>
      <c r="C74" s="36">
        <v>0</v>
      </c>
      <c r="D74" s="61" t="str">
        <f>IF(ISERROR(C74/B74),"n/a",C74/B74)</f>
        <v>n/a</v>
      </c>
      <c r="E74" s="31"/>
      <c r="F74" s="39">
        <v>1.7055951497654467</v>
      </c>
      <c r="G74" s="20"/>
      <c r="H74" s="32">
        <f>C74*F74</f>
        <v>0</v>
      </c>
      <c r="I74" s="61" t="str">
        <f>IF(ISERROR(H74/B74),"n/a",H74/B74)</f>
        <v>n/a</v>
      </c>
      <c r="J74" s="4"/>
    </row>
    <row r="75" spans="1:10">
      <c r="A75" s="250" t="s">
        <v>287</v>
      </c>
      <c r="B75" s="75">
        <v>6679.6397896529415</v>
      </c>
      <c r="C75" s="36">
        <v>103.46355385371976</v>
      </c>
      <c r="D75" s="61">
        <f>IF(ISERROR(C75/B75),"n/a",C75/B75)</f>
        <v>1.54893912114826E-2</v>
      </c>
      <c r="E75" s="31"/>
      <c r="F75" s="39">
        <v>1.7055951497654467</v>
      </c>
      <c r="G75" s="20"/>
      <c r="H75" s="32">
        <f>C75*F75</f>
        <v>176.46693563040051</v>
      </c>
      <c r="I75" s="61">
        <f>IF(ISERROR(H75/B75),"n/a",H75/B75)</f>
        <v>2.6418630523124261E-2</v>
      </c>
      <c r="J75" s="4"/>
    </row>
    <row r="76" spans="1:10">
      <c r="A76" s="251" t="s">
        <v>97</v>
      </c>
      <c r="B76" s="75">
        <f>SUM(B74:B75)</f>
        <v>6679.6397896529415</v>
      </c>
      <c r="C76" s="36">
        <f>SUM(C74:C75)</f>
        <v>103.46355385371976</v>
      </c>
      <c r="D76" s="61">
        <f>IF(ISERROR(C76/B76),"n/a",C76/B76)</f>
        <v>1.54893912114826E-2</v>
      </c>
      <c r="E76" s="31"/>
      <c r="F76" s="39"/>
      <c r="G76" s="20"/>
      <c r="H76" s="32">
        <f>SUM(H74:H75)</f>
        <v>176.46693563040051</v>
      </c>
      <c r="I76" s="61">
        <f>H76/B76</f>
        <v>2.6418630523124261E-2</v>
      </c>
      <c r="J76" s="4"/>
    </row>
    <row r="77" spans="1:10" ht="5" customHeight="1">
      <c r="A77" s="251"/>
      <c r="B77" s="75"/>
      <c r="C77" s="108"/>
      <c r="D77" s="61"/>
      <c r="E77" s="31"/>
      <c r="F77" s="39"/>
      <c r="G77" s="20"/>
      <c r="H77" s="32"/>
      <c r="I77" s="61"/>
      <c r="J77" s="4"/>
    </row>
    <row r="78" spans="1:10">
      <c r="A78" s="18" t="s">
        <v>303</v>
      </c>
      <c r="B78" s="75"/>
      <c r="C78" s="108"/>
      <c r="D78" s="61"/>
      <c r="E78" s="31"/>
      <c r="F78" s="39"/>
      <c r="G78" s="20"/>
      <c r="H78" s="32"/>
      <c r="I78" s="61"/>
      <c r="J78" s="4"/>
    </row>
    <row r="79" spans="1:10">
      <c r="A79" s="60" t="s">
        <v>269</v>
      </c>
      <c r="B79" s="75"/>
      <c r="C79" s="108"/>
      <c r="D79" s="61"/>
      <c r="E79" s="31"/>
      <c r="F79" s="39"/>
      <c r="G79" s="20"/>
      <c r="H79" s="32"/>
      <c r="I79" s="61"/>
      <c r="J79" s="4"/>
    </row>
    <row r="80" spans="1:10" ht="14">
      <c r="A80" s="251" t="s">
        <v>125</v>
      </c>
      <c r="B80" s="75">
        <v>0</v>
      </c>
      <c r="C80" s="108">
        <v>0</v>
      </c>
      <c r="D80" s="61" t="str">
        <f>IF(ISERROR(C80/B80),"n/a",C80/B80)</f>
        <v>n/a</v>
      </c>
      <c r="E80" s="31"/>
      <c r="F80" s="39">
        <v>1.7055951497654467</v>
      </c>
      <c r="G80" s="20"/>
      <c r="H80" s="32">
        <f>C80*F80</f>
        <v>0</v>
      </c>
      <c r="I80" s="61" t="str">
        <f>IF(ISERROR(H80/B80),"n/a",H80/B80)</f>
        <v>n/a</v>
      </c>
      <c r="J80" s="4"/>
    </row>
    <row r="81" spans="1:10">
      <c r="A81" s="250" t="s">
        <v>287</v>
      </c>
      <c r="B81" s="75">
        <v>2024.0187710972511</v>
      </c>
      <c r="C81" s="108">
        <v>574.53796782446113</v>
      </c>
      <c r="D81" s="61">
        <f>IF(ISERROR(C81/B81),"n/a",C81/B81)</f>
        <v>0.28385999973359705</v>
      </c>
      <c r="E81" s="31"/>
      <c r="F81" s="39">
        <v>1.7055951497654467</v>
      </c>
      <c r="G81" s="20"/>
      <c r="H81" s="32">
        <f>C81*F81</f>
        <v>979.92917127749718</v>
      </c>
      <c r="I81" s="61">
        <f>IF(ISERROR(H81/B81),"n/a",H81/B81)</f>
        <v>0.48415023875804414</v>
      </c>
      <c r="J81" s="4"/>
    </row>
    <row r="82" spans="1:10">
      <c r="A82" s="251" t="s">
        <v>97</v>
      </c>
      <c r="B82" s="75">
        <f>SUM(B80:B81)</f>
        <v>2024.0187710972511</v>
      </c>
      <c r="C82" s="36">
        <f>SUM(C80:C81)</f>
        <v>574.53796782446113</v>
      </c>
      <c r="D82" s="61">
        <f>IF(ISERROR(C82/B82),"n/a",C82/B82)</f>
        <v>0.28385999973359705</v>
      </c>
      <c r="E82" s="31"/>
      <c r="F82" s="39"/>
      <c r="G82" s="20"/>
      <c r="H82" s="32">
        <f>SUM(H80:H81)</f>
        <v>979.92917127749718</v>
      </c>
      <c r="I82" s="61">
        <f>H82/B82</f>
        <v>0.48415023875804414</v>
      </c>
      <c r="J82" s="4"/>
    </row>
    <row r="83" spans="1:10" ht="5" customHeight="1">
      <c r="A83" s="80"/>
      <c r="B83" s="75"/>
      <c r="C83" s="108"/>
      <c r="D83" s="61"/>
      <c r="E83" s="31"/>
      <c r="F83" s="39"/>
      <c r="G83" s="20"/>
      <c r="H83" s="32"/>
      <c r="I83" s="61"/>
      <c r="J83" s="4"/>
    </row>
    <row r="84" spans="1:10">
      <c r="A84" s="59" t="s">
        <v>274</v>
      </c>
      <c r="B84" s="75"/>
      <c r="C84" s="108"/>
      <c r="D84" s="61"/>
      <c r="E84" s="31"/>
      <c r="F84" s="39"/>
      <c r="G84" s="20"/>
      <c r="H84" s="32"/>
      <c r="I84" s="61"/>
      <c r="J84" s="4"/>
    </row>
    <row r="85" spans="1:10" ht="14">
      <c r="A85" s="251" t="s">
        <v>125</v>
      </c>
      <c r="B85" s="75">
        <v>0</v>
      </c>
      <c r="C85" s="108">
        <v>0</v>
      </c>
      <c r="D85" s="61" t="str">
        <f>IF(ISERROR(C85/B85),"n/a",C85/B85)</f>
        <v>n/a</v>
      </c>
      <c r="E85" s="31"/>
      <c r="F85" s="39">
        <v>1.7055951497654467</v>
      </c>
      <c r="G85" s="20"/>
      <c r="H85" s="32">
        <f>C85*F85</f>
        <v>0</v>
      </c>
      <c r="I85" s="61" t="str">
        <f>IF(ISERROR(H85/B85),"n/a",H85/B85)</f>
        <v>n/a</v>
      </c>
      <c r="J85" s="4"/>
    </row>
    <row r="86" spans="1:10">
      <c r="A86" s="250" t="s">
        <v>287</v>
      </c>
      <c r="B86" s="75">
        <v>6679.6397896529415</v>
      </c>
      <c r="C86" s="108">
        <v>1896.0825489114084</v>
      </c>
      <c r="D86" s="61">
        <f>IF(ISERROR(C86/B86),"n/a",C86/B86)</f>
        <v>0.28385999973359705</v>
      </c>
      <c r="E86" s="31"/>
      <c r="F86" s="39">
        <v>1.7055951497654467</v>
      </c>
      <c r="G86" s="20"/>
      <c r="H86" s="32">
        <f>C86*F86</f>
        <v>3233.9491989782036</v>
      </c>
      <c r="I86" s="61">
        <f>IF(ISERROR(H86/B86),"n/a",H86/B86)</f>
        <v>0.48415023875804419</v>
      </c>
      <c r="J86" s="4"/>
    </row>
    <row r="87" spans="1:10">
      <c r="A87" s="251" t="s">
        <v>97</v>
      </c>
      <c r="B87" s="75">
        <f>SUM(B85:B86)</f>
        <v>6679.6397896529415</v>
      </c>
      <c r="C87" s="36">
        <f>SUM(C85:C86)</f>
        <v>1896.0825489114084</v>
      </c>
      <c r="D87" s="61">
        <f>IF(ISERROR(C87/B87),"n/a",C87/B87)</f>
        <v>0.28385999973359705</v>
      </c>
      <c r="E87" s="31"/>
      <c r="F87" s="39"/>
      <c r="G87" s="20"/>
      <c r="H87" s="32">
        <f>SUM(H85:H86)</f>
        <v>3233.9491989782036</v>
      </c>
      <c r="I87" s="61">
        <f>H87/B87</f>
        <v>0.48415023875804419</v>
      </c>
      <c r="J87" s="4"/>
    </row>
    <row r="88" spans="1:10" hidden="1">
      <c r="A88" s="250"/>
      <c r="B88" s="75"/>
      <c r="C88" s="36"/>
      <c r="D88" s="61"/>
      <c r="E88" s="31"/>
      <c r="F88" s="39"/>
      <c r="G88" s="20"/>
      <c r="H88" s="32"/>
      <c r="I88" s="61"/>
      <c r="J88" s="4"/>
    </row>
    <row r="89" spans="1:10" hidden="1">
      <c r="A89" s="251"/>
      <c r="B89" s="75"/>
      <c r="C89" s="36"/>
      <c r="D89" s="61"/>
      <c r="E89" s="31"/>
      <c r="F89" s="39"/>
      <c r="G89" s="20"/>
      <c r="H89" s="32"/>
      <c r="I89" s="61"/>
      <c r="J89" s="4"/>
    </row>
    <row r="90" spans="1:10" hidden="1">
      <c r="B90" s="13" t="s">
        <v>188</v>
      </c>
      <c r="C90" s="6">
        <f>SUM(C7,C12,C17,C23,C28,C33,C43,C48,C54,C59)</f>
        <v>0</v>
      </c>
      <c r="D90" s="24">
        <v>0</v>
      </c>
      <c r="E90" s="89"/>
      <c r="F90" s="94">
        <f>C90-D90</f>
        <v>0</v>
      </c>
      <c r="G90" s="57"/>
      <c r="H90" s="28"/>
      <c r="I90" s="28"/>
      <c r="J90" s="4"/>
    </row>
    <row r="91" spans="1:10" hidden="1">
      <c r="A91" s="4"/>
      <c r="B91" s="13" t="s">
        <v>189</v>
      </c>
      <c r="C91" s="6">
        <f>SUM(C8,C13,C18,C24,C29,C34,C44,C49,C55,C60)</f>
        <v>3124.2318871110474</v>
      </c>
      <c r="D91" s="24">
        <v>3124.2318871110483</v>
      </c>
      <c r="E91" s="96"/>
      <c r="F91" s="94">
        <f>C91-D91</f>
        <v>0</v>
      </c>
      <c r="G91" s="57"/>
      <c r="H91" s="28"/>
      <c r="I91" s="28"/>
      <c r="J91" s="4"/>
    </row>
    <row r="92" spans="1:10" hidden="1">
      <c r="A92" s="4"/>
      <c r="B92" s="13" t="s">
        <v>190</v>
      </c>
      <c r="C92" s="6">
        <f>SUM(C90:C91)</f>
        <v>3124.2318871110474</v>
      </c>
      <c r="D92" s="6">
        <f>SUM(D90:D91)</f>
        <v>3124.2318871110483</v>
      </c>
      <c r="E92" s="101"/>
      <c r="F92" s="94">
        <f>C92-D92</f>
        <v>0</v>
      </c>
      <c r="G92" s="57"/>
      <c r="H92" s="28"/>
      <c r="I92" s="28"/>
      <c r="J92" s="4"/>
    </row>
    <row r="93" spans="1:10" hidden="1">
      <c r="A93" s="4"/>
      <c r="B93" s="339" t="s">
        <v>191</v>
      </c>
      <c r="C93" s="24">
        <f>C43+C48+C54+C59</f>
        <v>0</v>
      </c>
      <c r="D93" s="24">
        <v>0</v>
      </c>
      <c r="E93" s="96"/>
      <c r="F93" s="94">
        <f>C93-D93</f>
        <v>0</v>
      </c>
      <c r="G93" s="57"/>
      <c r="H93" s="28"/>
      <c r="I93" s="28"/>
      <c r="J93" s="4"/>
    </row>
    <row r="94" spans="1:10" hidden="1">
      <c r="A94" s="4"/>
      <c r="B94" s="339" t="s">
        <v>192</v>
      </c>
      <c r="C94" s="24">
        <f>C44+C49+C55+C60</f>
        <v>0</v>
      </c>
      <c r="D94" s="24">
        <v>0</v>
      </c>
      <c r="E94" s="96"/>
      <c r="F94" s="94">
        <f>C94-D94</f>
        <v>0</v>
      </c>
      <c r="G94" s="57"/>
      <c r="H94" s="28"/>
      <c r="I94" s="28"/>
      <c r="J94" s="4"/>
    </row>
    <row r="95" spans="1:10" hidden="1">
      <c r="A95" s="4"/>
      <c r="C95" s="28"/>
      <c r="D95" s="28"/>
      <c r="E95" s="28"/>
      <c r="F95" s="57"/>
      <c r="G95" s="57"/>
      <c r="H95" s="28"/>
      <c r="I95" s="28"/>
      <c r="J95" s="4"/>
    </row>
    <row r="96" spans="1:10" hidden="1">
      <c r="A96" s="4"/>
      <c r="C96" s="28"/>
      <c r="D96" s="28"/>
      <c r="E96" s="28"/>
      <c r="F96" s="57"/>
      <c r="G96" s="57"/>
      <c r="H96" s="28"/>
      <c r="I96" s="28"/>
      <c r="J96" s="4"/>
    </row>
    <row r="97" spans="1:10" hidden="1">
      <c r="A97" s="243" t="s">
        <v>193</v>
      </c>
      <c r="B97" s="98">
        <v>0</v>
      </c>
      <c r="C97" s="100" t="s">
        <v>194</v>
      </c>
      <c r="D97" s="28"/>
      <c r="E97" s="28"/>
      <c r="F97" s="57"/>
      <c r="G97" s="57"/>
      <c r="H97" s="28"/>
      <c r="I97" s="28"/>
      <c r="J97" s="4"/>
    </row>
    <row r="98" spans="1:10" hidden="1">
      <c r="A98" s="243" t="s">
        <v>195</v>
      </c>
      <c r="B98" s="98">
        <v>0</v>
      </c>
      <c r="C98" s="28" t="s">
        <v>196</v>
      </c>
      <c r="D98" s="28"/>
      <c r="E98" s="28"/>
      <c r="F98" s="57"/>
      <c r="G98" s="57"/>
      <c r="H98" s="28"/>
      <c r="I98" s="28"/>
      <c r="J98" s="4"/>
    </row>
    <row r="99" spans="1:10" hidden="1">
      <c r="A99" s="243" t="s">
        <v>197</v>
      </c>
      <c r="B99" s="98">
        <v>0</v>
      </c>
      <c r="C99" s="28"/>
      <c r="D99" s="28"/>
      <c r="E99" s="28"/>
      <c r="F99" s="57"/>
      <c r="G99" s="57"/>
      <c r="H99" s="28"/>
      <c r="I99" s="28"/>
      <c r="J99" s="4"/>
    </row>
    <row r="100" spans="1:10" hidden="1">
      <c r="A100" s="243" t="s">
        <v>198</v>
      </c>
      <c r="B100" s="98">
        <v>0</v>
      </c>
      <c r="C100" s="100" t="s">
        <v>199</v>
      </c>
      <c r="D100" s="28"/>
      <c r="E100" s="28"/>
      <c r="F100" s="57"/>
      <c r="G100" s="57"/>
      <c r="H100" s="28"/>
      <c r="I100" s="28"/>
      <c r="J100" s="4"/>
    </row>
    <row r="101" spans="1:10" hidden="1">
      <c r="A101" s="243" t="s">
        <v>200</v>
      </c>
      <c r="B101" s="98">
        <v>0</v>
      </c>
      <c r="C101" s="28"/>
      <c r="D101" s="28"/>
      <c r="E101" s="28"/>
      <c r="F101" s="57"/>
      <c r="G101" s="57"/>
      <c r="H101" s="28"/>
      <c r="I101" s="28"/>
      <c r="J101" s="4"/>
    </row>
    <row r="102" spans="1:10" hidden="1">
      <c r="A102" s="4"/>
      <c r="C102" s="28"/>
      <c r="D102" s="28"/>
      <c r="E102" s="28"/>
      <c r="F102" s="57"/>
      <c r="G102" s="57"/>
      <c r="H102" s="28"/>
      <c r="I102" s="28"/>
      <c r="J102" s="4"/>
    </row>
    <row r="103" spans="1:10" hidden="1">
      <c r="A103" s="4"/>
      <c r="B103" s="339" t="s">
        <v>226</v>
      </c>
      <c r="C103" s="6">
        <f>C23+C28+C33</f>
        <v>0</v>
      </c>
      <c r="D103" s="6">
        <v>0</v>
      </c>
      <c r="E103" s="28"/>
      <c r="F103" s="94">
        <f>C103-D103</f>
        <v>0</v>
      </c>
      <c r="G103" s="57"/>
      <c r="H103" s="168"/>
      <c r="I103" s="28"/>
      <c r="J103" s="4"/>
    </row>
    <row r="104" spans="1:10" hidden="1">
      <c r="A104" s="4"/>
      <c r="B104" s="339" t="s">
        <v>227</v>
      </c>
      <c r="C104" s="6">
        <f>C24+C29+C34</f>
        <v>1093.9331183404017</v>
      </c>
      <c r="D104" s="6">
        <v>1093.9331183404017</v>
      </c>
      <c r="E104" s="28"/>
      <c r="F104" s="94">
        <f>C104-D104</f>
        <v>0</v>
      </c>
      <c r="G104" s="57"/>
      <c r="H104" s="168"/>
      <c r="I104" s="28"/>
      <c r="J104" s="4"/>
    </row>
    <row r="105" spans="1:10" hidden="1">
      <c r="A105" s="4"/>
      <c r="B105" s="339"/>
      <c r="C105" s="6"/>
      <c r="D105" s="6"/>
      <c r="E105" s="28"/>
      <c r="F105" s="94"/>
      <c r="G105" s="57"/>
      <c r="H105" s="168"/>
      <c r="I105" s="28"/>
      <c r="J105" s="4"/>
    </row>
    <row r="106" spans="1:10" hidden="1">
      <c r="A106" s="4"/>
      <c r="B106" s="243" t="s">
        <v>288</v>
      </c>
      <c r="C106" s="6">
        <f>C69+C80</f>
        <v>0</v>
      </c>
      <c r="D106" s="6">
        <v>0</v>
      </c>
      <c r="E106" s="28"/>
      <c r="F106" s="94">
        <f>C106-D106</f>
        <v>0</v>
      </c>
      <c r="G106" s="57"/>
      <c r="H106" s="168"/>
      <c r="I106" s="28"/>
      <c r="J106" s="4"/>
    </row>
    <row r="107" spans="1:10" hidden="1">
      <c r="A107" s="4"/>
      <c r="B107" s="243" t="s">
        <v>289</v>
      </c>
      <c r="C107" s="6">
        <f>C70+C81</f>
        <v>605.88878638937081</v>
      </c>
      <c r="D107" s="6">
        <v>605.88878638937081</v>
      </c>
      <c r="E107" s="28"/>
      <c r="F107" s="94">
        <f>C107-D107</f>
        <v>0</v>
      </c>
      <c r="G107" s="57"/>
      <c r="H107" s="168"/>
      <c r="I107" s="28"/>
      <c r="J107" s="4"/>
    </row>
    <row r="108" spans="1:10" hidden="1">
      <c r="A108" s="4"/>
      <c r="B108" s="243" t="s">
        <v>290</v>
      </c>
      <c r="C108" s="6">
        <f>C74+C85</f>
        <v>0</v>
      </c>
      <c r="D108" s="6">
        <v>0</v>
      </c>
      <c r="E108" s="28"/>
      <c r="F108" s="94">
        <f>C108-D108</f>
        <v>0</v>
      </c>
      <c r="G108" s="57"/>
      <c r="H108" s="168"/>
      <c r="I108" s="28"/>
      <c r="J108" s="4"/>
    </row>
    <row r="109" spans="1:10" hidden="1">
      <c r="A109" s="4"/>
      <c r="B109" s="243" t="s">
        <v>291</v>
      </c>
      <c r="C109" s="6">
        <f>C75+C86</f>
        <v>1999.5461027651281</v>
      </c>
      <c r="D109" s="6">
        <v>1999.5461027651281</v>
      </c>
      <c r="E109" s="28"/>
      <c r="F109" s="94">
        <f>C109-D109</f>
        <v>0</v>
      </c>
      <c r="G109" s="57"/>
      <c r="H109" s="168"/>
      <c r="I109" s="28"/>
      <c r="J109" s="4"/>
    </row>
    <row r="110" spans="1:10" hidden="1">
      <c r="A110" s="4"/>
      <c r="B110" s="243"/>
      <c r="C110" s="6"/>
      <c r="D110" s="6"/>
      <c r="E110" s="28"/>
      <c r="F110" s="254"/>
      <c r="G110" s="57"/>
      <c r="H110" s="168"/>
      <c r="I110" s="28"/>
      <c r="J110" s="4"/>
    </row>
    <row r="111" spans="1:10" hidden="1">
      <c r="A111" s="17" t="s">
        <v>292</v>
      </c>
      <c r="B111" s="98">
        <v>0</v>
      </c>
      <c r="C111" s="6"/>
      <c r="D111" s="6"/>
      <c r="E111" s="28"/>
      <c r="F111" s="254"/>
      <c r="G111" s="57"/>
      <c r="H111" s="168"/>
      <c r="I111" s="28"/>
      <c r="J111" s="4"/>
    </row>
    <row r="112" spans="1:10" hidden="1">
      <c r="A112" s="17" t="s">
        <v>293</v>
      </c>
      <c r="B112" s="98">
        <v>0</v>
      </c>
      <c r="C112" s="6"/>
      <c r="D112" s="6"/>
      <c r="E112" s="28"/>
      <c r="F112" s="254"/>
      <c r="G112" s="57"/>
      <c r="H112" s="168"/>
      <c r="I112" s="28"/>
      <c r="J112" s="4"/>
    </row>
    <row r="113" spans="1:10" hidden="1">
      <c r="A113" s="17" t="s">
        <v>294</v>
      </c>
      <c r="B113" s="98">
        <v>0</v>
      </c>
      <c r="C113" s="6"/>
      <c r="D113" s="6"/>
      <c r="E113" s="28"/>
      <c r="F113" s="254"/>
      <c r="G113" s="57"/>
      <c r="H113" s="168"/>
      <c r="I113" s="28"/>
      <c r="J113" s="4"/>
    </row>
    <row r="114" spans="1:10" hidden="1">
      <c r="A114" s="17" t="s">
        <v>295</v>
      </c>
      <c r="B114" s="98">
        <v>0</v>
      </c>
      <c r="C114" s="6"/>
      <c r="D114" s="6"/>
      <c r="E114" s="28"/>
      <c r="F114" s="254"/>
      <c r="G114" s="57"/>
      <c r="H114" s="168"/>
      <c r="I114" s="28"/>
      <c r="J114" s="4"/>
    </row>
    <row r="115" spans="1:10">
      <c r="A115" s="103"/>
      <c r="B115" s="204"/>
      <c r="C115" s="213"/>
      <c r="D115" s="213"/>
      <c r="E115" s="213"/>
      <c r="F115" s="57"/>
      <c r="G115" s="57"/>
      <c r="H115" s="28"/>
      <c r="I115" s="28"/>
      <c r="J115" s="4"/>
    </row>
    <row r="116" spans="1:10">
      <c r="A116" s="4" t="s">
        <v>230</v>
      </c>
      <c r="C116" s="28"/>
      <c r="D116" s="28"/>
      <c r="E116" s="28"/>
      <c r="F116" s="57"/>
      <c r="G116" s="57"/>
      <c r="H116" s="28"/>
      <c r="I116" s="28"/>
      <c r="J116" s="4"/>
    </row>
    <row r="117" spans="1:10">
      <c r="A117" s="17" t="s">
        <v>796</v>
      </c>
      <c r="C117" s="28"/>
      <c r="D117" s="28"/>
      <c r="E117" s="28"/>
      <c r="F117" s="57"/>
      <c r="G117" s="57"/>
      <c r="H117" s="28"/>
      <c r="I117" s="28"/>
      <c r="J117" s="4"/>
    </row>
    <row r="118" spans="1:10">
      <c r="A118" s="17" t="s">
        <v>788</v>
      </c>
      <c r="C118" s="28"/>
      <c r="D118" s="28"/>
      <c r="E118" s="28"/>
      <c r="F118" s="57"/>
      <c r="G118" s="57"/>
      <c r="H118" s="28"/>
      <c r="I118" s="28"/>
      <c r="J118" s="4"/>
    </row>
    <row r="119" spans="1:10">
      <c r="A119" s="4"/>
      <c r="C119" s="28"/>
      <c r="D119" s="28"/>
      <c r="E119" s="28"/>
      <c r="F119" s="57"/>
      <c r="G119" s="57"/>
      <c r="H119" s="28"/>
      <c r="I119" s="28"/>
      <c r="J119" s="4"/>
    </row>
    <row r="120" spans="1:10">
      <c r="A120" s="4"/>
      <c r="C120" s="28"/>
      <c r="D120" s="28"/>
      <c r="E120" s="28"/>
      <c r="F120" s="57"/>
      <c r="G120" s="57"/>
      <c r="H120" s="28"/>
      <c r="I120" s="28"/>
      <c r="J120" s="4"/>
    </row>
    <row r="121" spans="1:10">
      <c r="A121" s="4"/>
      <c r="C121" s="28"/>
      <c r="D121" s="28"/>
      <c r="E121" s="28"/>
      <c r="F121" s="57"/>
      <c r="G121" s="57"/>
      <c r="H121" s="28"/>
      <c r="I121" s="28"/>
      <c r="J121" s="4"/>
    </row>
    <row r="122" spans="1:10">
      <c r="A122" s="4"/>
      <c r="C122" s="28"/>
      <c r="D122" s="28"/>
      <c r="E122" s="28"/>
      <c r="F122" s="57"/>
      <c r="G122" s="57"/>
      <c r="H122" s="28"/>
      <c r="I122" s="28"/>
      <c r="J122" s="4"/>
    </row>
    <row r="123" spans="1:10">
      <c r="A123" s="4"/>
      <c r="C123" s="28"/>
      <c r="D123" s="28"/>
      <c r="E123" s="28"/>
      <c r="F123" s="57"/>
      <c r="G123" s="57"/>
      <c r="H123" s="28"/>
      <c r="I123" s="28"/>
      <c r="J123" s="4"/>
    </row>
    <row r="124" spans="1:10">
      <c r="A124" s="4"/>
      <c r="C124" s="28"/>
      <c r="D124" s="28"/>
      <c r="E124" s="28"/>
      <c r="F124" s="57"/>
      <c r="G124" s="57"/>
      <c r="H124" s="28"/>
      <c r="I124" s="28"/>
      <c r="J124" s="4"/>
    </row>
    <row r="125" spans="1:10">
      <c r="A125" s="4"/>
      <c r="C125" s="28"/>
      <c r="D125" s="28"/>
      <c r="E125" s="28"/>
      <c r="F125" s="57"/>
      <c r="G125" s="57"/>
      <c r="H125" s="28"/>
      <c r="I125" s="28"/>
      <c r="J125" s="4"/>
    </row>
  </sheetData>
  <phoneticPr fontId="5" type="noConversion"/>
  <printOptions horizontalCentered="1"/>
  <pageMargins left="0.75" right="0.75" top="1" bottom="1" header="0.5" footer="0.5"/>
  <pageSetup fitToHeight="3" orientation="landscape" r:id="rId1"/>
  <headerFooter alignWithMargins="0">
    <oddFooter>&amp;L&amp;F</oddFooter>
  </headerFooter>
  <rowBreaks count="2" manualBreakCount="2">
    <brk id="36" max="8" man="1"/>
    <brk id="62" max="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pageSetUpPr fitToPage="1"/>
  </sheetPr>
  <dimension ref="A1:K34"/>
  <sheetViews>
    <sheetView zoomScale="70" workbookViewId="0"/>
  </sheetViews>
  <sheetFormatPr baseColWidth="10" defaultColWidth="9.1640625" defaultRowHeight="13"/>
  <cols>
    <col min="1" max="1" width="25.5" style="4" customWidth="1"/>
    <col min="2" max="2" width="9.5" style="4" customWidth="1"/>
    <col min="3" max="3" width="2.5" style="4" customWidth="1"/>
    <col min="4" max="4" width="8.5" style="4" customWidth="1"/>
    <col min="5" max="5" width="2.5" style="4" customWidth="1"/>
    <col min="6" max="6" width="9.5" style="4" customWidth="1"/>
    <col min="7" max="7" width="2.5" style="4" customWidth="1"/>
    <col min="8" max="8" width="7.5" style="4" customWidth="1"/>
    <col min="9" max="9" width="3.5" style="4" customWidth="1"/>
    <col min="10" max="10" width="9.5" style="4" customWidth="1"/>
    <col min="11" max="11" width="7.5" style="4" customWidth="1"/>
    <col min="12" max="16384" width="9.1640625" style="4"/>
  </cols>
  <sheetData>
    <row r="1" spans="1:11" ht="16">
      <c r="A1" s="117" t="s">
        <v>555</v>
      </c>
      <c r="B1" s="1"/>
      <c r="C1" s="1"/>
      <c r="D1" s="1"/>
      <c r="E1" s="1"/>
    </row>
    <row r="2" spans="1:11" ht="16">
      <c r="A2" s="117" t="s">
        <v>780</v>
      </c>
      <c r="B2" s="1"/>
      <c r="C2" s="1"/>
      <c r="D2" s="1"/>
      <c r="E2" s="1"/>
      <c r="H2" s="20"/>
    </row>
    <row r="3" spans="1:11" ht="40" customHeight="1">
      <c r="B3" s="119" t="s">
        <v>211</v>
      </c>
      <c r="C3" s="119"/>
      <c r="D3" s="119" t="s">
        <v>252</v>
      </c>
      <c r="E3" s="119"/>
      <c r="F3" s="119" t="s">
        <v>471</v>
      </c>
      <c r="G3" s="119"/>
      <c r="H3" s="119" t="s">
        <v>266</v>
      </c>
      <c r="J3" s="119" t="s">
        <v>268</v>
      </c>
      <c r="K3" s="119" t="s">
        <v>267</v>
      </c>
    </row>
    <row r="4" spans="1:11">
      <c r="A4" s="17" t="s">
        <v>777</v>
      </c>
    </row>
    <row r="5" spans="1:11">
      <c r="A5" s="4" t="s">
        <v>207</v>
      </c>
      <c r="B5" s="30">
        <v>0</v>
      </c>
      <c r="C5" s="205"/>
      <c r="F5" s="30">
        <v>0</v>
      </c>
      <c r="G5" s="205"/>
      <c r="H5" s="121">
        <v>0</v>
      </c>
    </row>
    <row r="6" spans="1:11">
      <c r="A6" s="17" t="s">
        <v>257</v>
      </c>
      <c r="B6" s="30">
        <v>0</v>
      </c>
      <c r="C6" s="205"/>
    </row>
    <row r="7" spans="1:11">
      <c r="A7" s="17" t="s">
        <v>258</v>
      </c>
      <c r="B7" s="24">
        <f>B6*D7</f>
        <v>0</v>
      </c>
      <c r="C7" s="24"/>
      <c r="D7" s="122"/>
      <c r="E7" s="221"/>
    </row>
    <row r="8" spans="1:11">
      <c r="A8" s="17" t="s">
        <v>208</v>
      </c>
      <c r="B8" s="24">
        <f>B5-B7</f>
        <v>0</v>
      </c>
      <c r="C8" s="24"/>
    </row>
    <row r="9" spans="1:11">
      <c r="A9" s="17" t="s">
        <v>209</v>
      </c>
      <c r="B9" s="24">
        <f>B8*D9</f>
        <v>0</v>
      </c>
      <c r="C9" s="24"/>
      <c r="D9" s="122"/>
      <c r="E9" s="221"/>
    </row>
    <row r="10" spans="1:11">
      <c r="A10" s="17" t="s">
        <v>210</v>
      </c>
      <c r="B10" s="24">
        <f>B8-B9</f>
        <v>0</v>
      </c>
      <c r="C10" s="24"/>
      <c r="H10" s="121"/>
    </row>
    <row r="11" spans="1:11">
      <c r="A11" s="17" t="s">
        <v>778</v>
      </c>
      <c r="B11" s="24">
        <v>0</v>
      </c>
      <c r="C11" s="205"/>
      <c r="H11" s="121">
        <v>0</v>
      </c>
      <c r="I11" s="221"/>
      <c r="J11" s="244">
        <v>0.9952967509530305</v>
      </c>
      <c r="K11" s="121">
        <f>H11/J11</f>
        <v>0</v>
      </c>
    </row>
    <row r="12" spans="1:11">
      <c r="A12" s="17" t="s">
        <v>779</v>
      </c>
      <c r="B12" s="24">
        <f>B10-B11</f>
        <v>0</v>
      </c>
      <c r="C12" s="24"/>
      <c r="H12" s="121">
        <v>0</v>
      </c>
      <c r="I12" s="221"/>
      <c r="J12" s="244">
        <v>0.9952967509530305</v>
      </c>
      <c r="K12" s="121">
        <f>H12/J12</f>
        <v>0</v>
      </c>
    </row>
    <row r="13" spans="1:11" ht="8" customHeight="1">
      <c r="A13" s="17"/>
      <c r="B13" s="24"/>
      <c r="C13" s="24"/>
      <c r="H13" s="121"/>
    </row>
    <row r="14" spans="1:11" ht="8" customHeight="1">
      <c r="A14" s="17"/>
      <c r="B14" s="24"/>
      <c r="C14" s="24"/>
      <c r="H14" s="121"/>
    </row>
    <row r="15" spans="1:11" ht="8" customHeight="1"/>
    <row r="16" spans="1:11">
      <c r="A16" s="17" t="s">
        <v>222</v>
      </c>
    </row>
    <row r="17" spans="1:11">
      <c r="A17" s="4" t="s">
        <v>207</v>
      </c>
      <c r="B17" s="30">
        <v>352828.13099999999</v>
      </c>
      <c r="C17" s="205" t="s">
        <v>231</v>
      </c>
      <c r="F17" s="30">
        <v>2973.7303999999999</v>
      </c>
      <c r="G17" s="205" t="s">
        <v>231</v>
      </c>
      <c r="H17" s="121">
        <f>B17/F17</f>
        <v>118.6483250129198</v>
      </c>
    </row>
    <row r="18" spans="1:11">
      <c r="A18" s="17" t="s">
        <v>257</v>
      </c>
      <c r="B18" s="30">
        <v>43033.922558284707</v>
      </c>
      <c r="C18" s="205" t="s">
        <v>231</v>
      </c>
    </row>
    <row r="19" spans="1:11">
      <c r="A19" s="17" t="s">
        <v>258</v>
      </c>
      <c r="B19" s="24">
        <f>B18*D19</f>
        <v>633.8812567492447</v>
      </c>
      <c r="C19" s="24"/>
      <c r="D19" s="122">
        <v>1.4729804281511228E-2</v>
      </c>
      <c r="E19" s="221" t="s">
        <v>234</v>
      </c>
    </row>
    <row r="20" spans="1:11">
      <c r="A20" s="17" t="s">
        <v>208</v>
      </c>
      <c r="B20" s="24">
        <f>B17-B19</f>
        <v>352194.24974325072</v>
      </c>
      <c r="C20" s="24"/>
    </row>
    <row r="21" spans="1:11">
      <c r="A21" s="17" t="s">
        <v>209</v>
      </c>
      <c r="B21" s="24">
        <f>B20*D21</f>
        <v>3904.6605322048295</v>
      </c>
      <c r="C21" s="24"/>
      <c r="D21" s="122">
        <v>1.1086667471292683E-2</v>
      </c>
      <c r="E21" s="221" t="s">
        <v>235</v>
      </c>
    </row>
    <row r="22" spans="1:11">
      <c r="A22" s="17" t="s">
        <v>210</v>
      </c>
      <c r="B22" s="24">
        <f>B20-B21</f>
        <v>348289.58921104588</v>
      </c>
      <c r="C22" s="24"/>
      <c r="H22" s="121"/>
    </row>
    <row r="23" spans="1:11">
      <c r="A23" s="17" t="s">
        <v>778</v>
      </c>
      <c r="B23" s="24">
        <v>142789.06047166753</v>
      </c>
      <c r="C23" s="205" t="s">
        <v>233</v>
      </c>
      <c r="H23" s="121">
        <f>H24/2</f>
        <v>106.57787103941583</v>
      </c>
      <c r="I23" s="221" t="s">
        <v>236</v>
      </c>
      <c r="J23" s="244">
        <v>0.9952967509530305</v>
      </c>
      <c r="K23" s="121">
        <f>H23/J23</f>
        <v>107.08150201170042</v>
      </c>
    </row>
    <row r="24" spans="1:11">
      <c r="A24" s="17" t="s">
        <v>779</v>
      </c>
      <c r="B24" s="24">
        <f>B22-B23</f>
        <v>205500.52873937835</v>
      </c>
      <c r="C24" s="24"/>
      <c r="H24" s="121">
        <f>(3*B23+B24)/F17</f>
        <v>213.15574207883165</v>
      </c>
      <c r="I24" s="221" t="s">
        <v>237</v>
      </c>
      <c r="J24" s="244">
        <v>0.9952967509530305</v>
      </c>
      <c r="K24" s="121">
        <f>H24/J24</f>
        <v>214.16300402340084</v>
      </c>
    </row>
    <row r="25" spans="1:11">
      <c r="A25" s="103"/>
      <c r="B25" s="103"/>
      <c r="C25" s="103"/>
      <c r="D25" s="103"/>
      <c r="E25" s="103"/>
    </row>
    <row r="26" spans="1:11">
      <c r="A26" s="2" t="s">
        <v>230</v>
      </c>
    </row>
    <row r="27" spans="1:11">
      <c r="A27" s="17" t="s">
        <v>797</v>
      </c>
    </row>
    <row r="28" spans="1:11">
      <c r="A28" s="17" t="s">
        <v>798</v>
      </c>
    </row>
    <row r="29" spans="1:11" ht="25" customHeight="1">
      <c r="A29" s="425" t="s">
        <v>799</v>
      </c>
      <c r="B29" s="426"/>
      <c r="C29" s="426"/>
      <c r="D29" s="426"/>
      <c r="E29" s="426"/>
      <c r="F29" s="426"/>
    </row>
    <row r="30" spans="1:11" ht="25" customHeight="1">
      <c r="A30" s="425" t="s">
        <v>800</v>
      </c>
      <c r="B30" s="426"/>
      <c r="C30" s="426"/>
      <c r="D30" s="426"/>
      <c r="E30" s="426"/>
      <c r="F30" s="426"/>
    </row>
    <row r="31" spans="1:11" ht="25" customHeight="1">
      <c r="A31" s="425" t="s">
        <v>259</v>
      </c>
      <c r="B31" s="426"/>
      <c r="C31" s="426"/>
      <c r="D31" s="426"/>
      <c r="E31" s="426"/>
      <c r="F31" s="426"/>
    </row>
    <row r="32" spans="1:11" ht="25" customHeight="1">
      <c r="A32" s="425" t="s">
        <v>260</v>
      </c>
      <c r="B32" s="426"/>
      <c r="C32" s="426"/>
      <c r="D32" s="426"/>
      <c r="E32" s="426"/>
      <c r="F32" s="426"/>
    </row>
    <row r="33" spans="1:1">
      <c r="A33" s="11" t="s">
        <v>0</v>
      </c>
    </row>
    <row r="34" spans="1:1">
      <c r="A34" s="11" t="s">
        <v>1</v>
      </c>
    </row>
  </sheetData>
  <mergeCells count="4">
    <mergeCell ref="A29:F29"/>
    <mergeCell ref="A30:F30"/>
    <mergeCell ref="A31:F31"/>
    <mergeCell ref="A32:F32"/>
  </mergeCells>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pageSetUpPr fitToPage="1"/>
  </sheetPr>
  <dimension ref="A1:K21"/>
  <sheetViews>
    <sheetView zoomScale="70" workbookViewId="0"/>
  </sheetViews>
  <sheetFormatPr baseColWidth="10" defaultColWidth="8.83203125" defaultRowHeight="13"/>
  <cols>
    <col min="1" max="1" width="12.5" customWidth="1"/>
    <col min="2" max="2" width="15.83203125" customWidth="1"/>
    <col min="3" max="5" width="11.5" customWidth="1"/>
    <col min="6" max="6" width="3.5" customWidth="1"/>
    <col min="7" max="7" width="11.5" customWidth="1"/>
    <col min="8" max="8" width="3.5" customWidth="1"/>
    <col min="9" max="10" width="11.5" customWidth="1"/>
  </cols>
  <sheetData>
    <row r="1" spans="1:11" ht="16">
      <c r="A1" s="335" t="s">
        <v>49</v>
      </c>
      <c r="B1" s="117"/>
    </row>
    <row r="2" spans="1:11" ht="16">
      <c r="A2" s="117" t="s">
        <v>780</v>
      </c>
      <c r="B2" s="335"/>
    </row>
    <row r="3" spans="1:11" ht="28">
      <c r="A3" s="337" t="s">
        <v>394</v>
      </c>
      <c r="B3" s="336" t="s">
        <v>343</v>
      </c>
      <c r="C3" s="125" t="s">
        <v>245</v>
      </c>
      <c r="D3" s="138" t="s">
        <v>244</v>
      </c>
      <c r="E3" s="8" t="s">
        <v>99</v>
      </c>
      <c r="F3" s="8"/>
      <c r="G3" s="142" t="s">
        <v>241</v>
      </c>
      <c r="H3" s="65"/>
      <c r="I3" s="119" t="s">
        <v>213</v>
      </c>
      <c r="J3" s="31" t="s">
        <v>128</v>
      </c>
      <c r="K3" s="4"/>
    </row>
    <row r="4" spans="1:11">
      <c r="A4" s="11" t="s">
        <v>817</v>
      </c>
      <c r="B4" t="s">
        <v>273</v>
      </c>
      <c r="C4" s="6">
        <f>SUM('Table 3.24-CIOSS Detail'!E4,'Table 3.24-CIOSS Detail'!E19)</f>
        <v>291816.12902469758</v>
      </c>
      <c r="D4" s="32">
        <f>SUM('Table 3.24-CIOSS Detail'!F4,'Table 3.24-CIOSS Detail'!F19)</f>
        <v>6343.7937175972183</v>
      </c>
      <c r="E4" s="61">
        <f>IF(ISERROR(D4/C4),"n/a",D4/C4)</f>
        <v>2.1739009899142063E-2</v>
      </c>
      <c r="G4" s="23">
        <v>2.2330748813648089</v>
      </c>
      <c r="I4" s="32">
        <f>D4*G4</f>
        <v>14166.166403326228</v>
      </c>
      <c r="J4" s="61">
        <f>IF(ISERROR(I4/C4),"n/a",I4/C4)</f>
        <v>4.8544836951515069E-2</v>
      </c>
    </row>
    <row r="5" spans="1:11">
      <c r="B5" s="11" t="s">
        <v>368</v>
      </c>
      <c r="C5" s="6">
        <f>SUM('Table 3.24-CIOSS Detail'!E5,'Table 3.24-CIOSS Detail'!E12,'Table 3.24-CIOSS Detail'!E20,'Table 3.24-CIOSS Detail'!E27,'Table 3.24-CIOSS Detail'!E34)</f>
        <v>984748.66247837758</v>
      </c>
      <c r="D5" s="32">
        <f>SUM('Table 3.24-CIOSS Detail'!F5,'Table 3.24-CIOSS Detail'!F12,'Table 3.24-CIOSS Detail'!F20,'Table 3.24-CIOSS Detail'!F27,'Table 3.24-CIOSS Detail'!F34)</f>
        <v>12168.384044250241</v>
      </c>
      <c r="E5" s="61">
        <f>IF(ISERROR(D5/C5),"n/a",D5/C5)</f>
        <v>1.2356842418679015E-2</v>
      </c>
      <c r="G5" s="23">
        <v>2.2330748813648089</v>
      </c>
      <c r="I5" s="32">
        <f>D5*G5</f>
        <v>27172.912756015539</v>
      </c>
      <c r="J5" s="61">
        <f>IF(ISERROR(I5/C5),"n/a",I5/C5)</f>
        <v>2.7593754418135281E-2</v>
      </c>
    </row>
    <row r="6" spans="1:11">
      <c r="B6" t="s">
        <v>274</v>
      </c>
      <c r="C6" s="6">
        <f>SUM('Table 3.24-CIOSS Detail'!E6,'Table 3.24-CIOSS Detail'!E13,'Table 3.24-CIOSS Detail'!E21,'Table 3.24-CIOSS Detail'!E28)</f>
        <v>286421.20498402318</v>
      </c>
      <c r="D6" s="32">
        <f>SUM('Table 3.24-CIOSS Detail'!F6,'Table 3.24-CIOSS Detail'!F13,'Table 3.24-CIOSS Detail'!F21,'Table 3.24-CIOSS Detail'!F28)</f>
        <v>6226.5134104718773</v>
      </c>
      <c r="E6" s="61">
        <f>IF(ISERROR(D6/C6),"n/a",D6/C6)</f>
        <v>2.173900989914206E-2</v>
      </c>
      <c r="G6" s="23">
        <v>2.2330748813648089</v>
      </c>
      <c r="I6" s="32">
        <f>D6*G6</f>
        <v>13904.270695405879</v>
      </c>
      <c r="J6" s="61">
        <f>IF(ISERROR(I6/C6),"n/a",I6/C6)</f>
        <v>4.8544836951515069E-2</v>
      </c>
    </row>
    <row r="7" spans="1:11">
      <c r="C7" s="6"/>
      <c r="D7" s="32"/>
    </row>
    <row r="8" spans="1:11">
      <c r="A8" s="11" t="s">
        <v>818</v>
      </c>
      <c r="B8" t="s">
        <v>273</v>
      </c>
      <c r="C8" s="6">
        <f>SUM('Table 3.24-CIOSS Detail'!E8,'Table 3.24-CIOSS Detail'!E23)</f>
        <v>86492.15889043019</v>
      </c>
      <c r="D8" s="32">
        <f>SUM('Table 3.24-CIOSS Detail'!F8,'Table 3.24-CIOSS Detail'!F23)</f>
        <v>1880.2538983172299</v>
      </c>
      <c r="E8" s="61">
        <f>IF(ISERROR(D8/C8),"n/a",D8/C8)</f>
        <v>2.173900989914206E-2</v>
      </c>
      <c r="G8" s="23">
        <v>2.2330748813648089</v>
      </c>
      <c r="I8" s="32">
        <f>D8*G8</f>
        <v>4198.7477509204673</v>
      </c>
      <c r="J8" s="61">
        <f>IF(ISERROR(I8/C8),"n/a",I8/C8)</f>
        <v>4.8544836951515062E-2</v>
      </c>
    </row>
    <row r="9" spans="1:11">
      <c r="B9" s="11" t="s">
        <v>368</v>
      </c>
      <c r="C9" s="6">
        <f>SUM('Table 3.24-CIOSS Detail'!E9,'Table 3.24-CIOSS Detail'!E24)</f>
        <v>4779.0428402510524</v>
      </c>
      <c r="D9" s="32">
        <f>SUM('Table 3.24-CIOSS Detail'!F9,'Table 3.24-CIOSS Detail'!F24)</f>
        <v>103.89165961264163</v>
      </c>
      <c r="E9" s="61">
        <f>IF(ISERROR(D9/C9),"n/a",D9/C9)</f>
        <v>2.1739009899142063E-2</v>
      </c>
      <c r="G9" s="23">
        <v>2.2330748813648089</v>
      </c>
      <c r="I9" s="32">
        <f>D9*G9</f>
        <v>231.99785546429283</v>
      </c>
      <c r="J9" s="61">
        <f>IF(ISERROR(I9/C9),"n/a",I9/C9)</f>
        <v>4.8544836951515069E-2</v>
      </c>
    </row>
    <row r="10" spans="1:11">
      <c r="B10" t="s">
        <v>274</v>
      </c>
      <c r="C10" s="6">
        <f>SUM('Table 3.24-CIOSS Detail'!E10,'Table 3.24-CIOSS Detail'!E25)</f>
        <v>114950.71126931872</v>
      </c>
      <c r="D10" s="32">
        <f>SUM('Table 3.24-CIOSS Detail'!F10,'Table 3.24-CIOSS Detail'!F25)</f>
        <v>2498.9146501971409</v>
      </c>
      <c r="E10" s="61">
        <f>IF(ISERROR(D10/C10),"n/a",D10/C10)</f>
        <v>2.1739009899142063E-2</v>
      </c>
      <c r="G10" s="23">
        <v>2.2330748813648089</v>
      </c>
      <c r="I10" s="32">
        <f>D10*G10</f>
        <v>5580.2635360297636</v>
      </c>
      <c r="J10" s="61">
        <f>IF(ISERROR(I10/C10),"n/a",I10/C10)</f>
        <v>4.8544836951515076E-2</v>
      </c>
    </row>
    <row r="11" spans="1:11">
      <c r="C11" s="6"/>
      <c r="D11" s="32"/>
    </row>
    <row r="12" spans="1:11">
      <c r="A12" s="11" t="s">
        <v>819</v>
      </c>
      <c r="B12" s="11" t="s">
        <v>368</v>
      </c>
      <c r="C12" s="6">
        <f>SUM('Table 3.24-CIOSS Detail'!E15,'Table 3.24-CIOSS Detail'!E30,'Table 3.24-CIOSS Detail'!E36)</f>
        <v>134934.58473981675</v>
      </c>
      <c r="D12" s="32">
        <f>SUM('Table 3.24-CIOSS Detail'!F15,'Table 3.24-CIOSS Detail'!F30,'Table 3.24-CIOSS Detail'!F36)</f>
        <v>1363.3756821975967</v>
      </c>
      <c r="E12" s="61">
        <f>IF(ISERROR(D12/C12),"n/a",D12/C12)</f>
        <v>1.0103975084123034E-2</v>
      </c>
      <c r="G12" s="23">
        <v>2.2330748813648089</v>
      </c>
      <c r="I12" s="32">
        <f>D12*G12</f>
        <v>3044.5199897790635</v>
      </c>
      <c r="J12" s="61">
        <f>IF(ISERROR(I12/C12),"n/a",I12/C12)</f>
        <v>2.2562932962291029E-2</v>
      </c>
    </row>
    <row r="13" spans="1:11">
      <c r="A13" s="204"/>
      <c r="B13" s="238" t="s">
        <v>274</v>
      </c>
      <c r="C13" s="10">
        <f>SUM('Table 3.24-CIOSS Detail'!E16,'Table 3.24-CIOSS Detail'!E31,'Table 3.24-CIOSS Detail'!E37)</f>
        <v>445309.31931019609</v>
      </c>
      <c r="D13" s="131">
        <f>SUM('Table 3.24-CIOSS Detail'!F16,'Table 3.24-CIOSS Detail'!F31,'Table 3.24-CIOSS Detail'!F37)</f>
        <v>4736.6239314615759</v>
      </c>
      <c r="E13" s="129">
        <f>IF(ISERROR(D13/C13),"n/a",D13/C13)</f>
        <v>1.0636705153170422E-2</v>
      </c>
      <c r="F13" s="204"/>
      <c r="G13" s="338">
        <v>2.2330748813648089</v>
      </c>
      <c r="H13" s="204"/>
      <c r="I13" s="131">
        <f>D13*G13</f>
        <v>10577.235923818273</v>
      </c>
      <c r="J13" s="129">
        <f>IF(ISERROR(I13/C13),"n/a",I13/C13)</f>
        <v>2.3752559098028491E-2</v>
      </c>
    </row>
    <row r="14" spans="1:11">
      <c r="B14" s="13" t="s">
        <v>97</v>
      </c>
      <c r="C14" s="6">
        <f>SUM(C4:C13)</f>
        <v>2349451.813537111</v>
      </c>
      <c r="D14" s="32">
        <f>SUM(D4:D13)</f>
        <v>35321.750994105518</v>
      </c>
      <c r="E14" s="61">
        <f>IF(ISERROR(D14/C14),"n/a",D14/C14)</f>
        <v>1.5034039340831787E-2</v>
      </c>
      <c r="I14" s="32">
        <f>SUM(I4:I13)</f>
        <v>78876.114910759512</v>
      </c>
      <c r="J14" s="61">
        <f>IF(ISERROR(I14/C14),"n/a",I14/C14)</f>
        <v>3.3572135617461821E-2</v>
      </c>
    </row>
    <row r="15" spans="1:11" hidden="1">
      <c r="B15" s="13"/>
      <c r="C15" s="6"/>
      <c r="D15" s="32"/>
      <c r="E15" s="61"/>
      <c r="I15" s="32"/>
      <c r="J15" s="61"/>
    </row>
    <row r="16" spans="1:11" hidden="1">
      <c r="B16" s="13" t="s">
        <v>186</v>
      </c>
      <c r="C16" s="105">
        <f>C14-'Table 3.24-CIOSS Detail'!E40</f>
        <v>0</v>
      </c>
      <c r="D16" s="105">
        <f>D14-'Table 3.24-CIOSS Detail'!F40</f>
        <v>0</v>
      </c>
      <c r="E16" s="61"/>
      <c r="H16" s="13" t="s">
        <v>186</v>
      </c>
      <c r="I16" s="105">
        <f>I14-'Table 3.24-CIOSS Detail'!K40</f>
        <v>0</v>
      </c>
      <c r="J16" s="105">
        <f>J14-'Table 3.24-CIOSS Detail'!L40</f>
        <v>0</v>
      </c>
    </row>
    <row r="17" spans="1:10">
      <c r="A17" s="204"/>
      <c r="B17" s="213"/>
      <c r="C17" s="6"/>
      <c r="D17" s="32"/>
      <c r="E17" s="61"/>
      <c r="I17" s="32"/>
      <c r="J17" s="61"/>
    </row>
    <row r="18" spans="1:10">
      <c r="A18" s="4" t="s">
        <v>230</v>
      </c>
      <c r="B18" s="28"/>
      <c r="C18" s="28"/>
    </row>
    <row r="19" spans="1:10">
      <c r="A19" s="17" t="s">
        <v>647</v>
      </c>
      <c r="B19" s="28"/>
      <c r="C19" s="28"/>
    </row>
    <row r="20" spans="1:10">
      <c r="A20" s="17" t="s">
        <v>788</v>
      </c>
    </row>
    <row r="21" spans="1:10">
      <c r="A21" s="11" t="s">
        <v>816</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pageSetUpPr fitToPage="1"/>
  </sheetPr>
  <dimension ref="A1:M57"/>
  <sheetViews>
    <sheetView zoomScale="70" workbookViewId="0"/>
  </sheetViews>
  <sheetFormatPr baseColWidth="10" defaultColWidth="8.83203125" defaultRowHeight="13"/>
  <cols>
    <col min="1" max="1" width="27.1640625" customWidth="1"/>
    <col min="2" max="2" width="9.5" customWidth="1"/>
    <col min="3" max="3" width="25.5" customWidth="1"/>
    <col min="4" max="4" width="15.83203125" customWidth="1"/>
    <col min="5" max="7" width="11.5" customWidth="1"/>
    <col min="8" max="8" width="3.5" customWidth="1"/>
    <col min="9" max="9" width="11.5" customWidth="1"/>
    <col min="10" max="10" width="3.5" customWidth="1"/>
    <col min="11" max="12" width="11.5" customWidth="1"/>
  </cols>
  <sheetData>
    <row r="1" spans="1:13" ht="16">
      <c r="A1" s="117" t="s">
        <v>556</v>
      </c>
      <c r="B1" s="117"/>
      <c r="C1" s="117"/>
      <c r="D1" s="117"/>
    </row>
    <row r="2" spans="1:13" ht="16">
      <c r="A2" s="117" t="s">
        <v>780</v>
      </c>
      <c r="B2" s="335"/>
      <c r="C2" s="335"/>
      <c r="D2" s="335"/>
    </row>
    <row r="3" spans="1:13" ht="28">
      <c r="A3" s="336" t="s">
        <v>391</v>
      </c>
      <c r="B3" s="337" t="s">
        <v>394</v>
      </c>
      <c r="C3" s="336" t="s">
        <v>392</v>
      </c>
      <c r="D3" s="336" t="s">
        <v>343</v>
      </c>
      <c r="E3" s="125" t="s">
        <v>397</v>
      </c>
      <c r="F3" s="138" t="s">
        <v>398</v>
      </c>
      <c r="G3" s="8" t="s">
        <v>99</v>
      </c>
      <c r="H3" s="8"/>
      <c r="I3" s="142" t="s">
        <v>399</v>
      </c>
      <c r="J3" s="65"/>
      <c r="K3" s="119" t="s">
        <v>213</v>
      </c>
      <c r="L3" s="31" t="s">
        <v>128</v>
      </c>
      <c r="M3" s="4"/>
    </row>
    <row r="4" spans="1:13">
      <c r="A4" s="17" t="s">
        <v>405</v>
      </c>
      <c r="B4" t="s">
        <v>402</v>
      </c>
      <c r="C4" t="s">
        <v>393</v>
      </c>
      <c r="D4" t="s">
        <v>273</v>
      </c>
      <c r="E4" s="6">
        <v>244745.97714266172</v>
      </c>
      <c r="F4" s="32">
        <v>5320.5352198795199</v>
      </c>
      <c r="G4" s="61">
        <f>IF(ISERROR(F4/E4),"n/a",F4/E4)</f>
        <v>2.1739009899142063E-2</v>
      </c>
      <c r="I4" s="23">
        <v>2.2330748813648089</v>
      </c>
      <c r="K4" s="32">
        <f>F4*I4</f>
        <v>11881.153554929746</v>
      </c>
      <c r="L4" s="61">
        <f>IF(ISERROR(K4/E4),"n/a",K4/E4)</f>
        <v>4.8544836951515062E-2</v>
      </c>
    </row>
    <row r="5" spans="1:13">
      <c r="D5" t="s">
        <v>368</v>
      </c>
      <c r="E5" s="6">
        <v>165624.16869952355</v>
      </c>
      <c r="F5" s="32">
        <v>3600.5054428961171</v>
      </c>
      <c r="G5" s="61">
        <f>IF(ISERROR(F5/E5),"n/a",F5/E5)</f>
        <v>2.173900989914206E-2</v>
      </c>
      <c r="I5" s="23">
        <v>2.2330748813648089</v>
      </c>
      <c r="K5" s="32">
        <f>F5*I5</f>
        <v>8040.1982647485956</v>
      </c>
      <c r="L5" s="61">
        <f>IF(ISERROR(K5/E5),"n/a",K5/E5)</f>
        <v>4.8544836951515062E-2</v>
      </c>
    </row>
    <row r="6" spans="1:13">
      <c r="D6" t="s">
        <v>274</v>
      </c>
      <c r="E6" s="6">
        <v>6969.8285872749257</v>
      </c>
      <c r="F6" s="32">
        <v>151.51717265409295</v>
      </c>
      <c r="G6" s="61">
        <f>IF(ISERROR(F6/E6),"n/a",F6/E6)</f>
        <v>2.1739009899142063E-2</v>
      </c>
      <c r="I6" s="23">
        <v>2.2330748813648089</v>
      </c>
      <c r="K6" s="32">
        <f>F6*I6</f>
        <v>338.34919234926986</v>
      </c>
      <c r="L6" s="61">
        <f>IF(ISERROR(K6/E6),"n/a",K6/E6)</f>
        <v>4.8544836951515062E-2</v>
      </c>
    </row>
    <row r="7" spans="1:13">
      <c r="E7" s="6"/>
      <c r="F7" s="6"/>
    </row>
    <row r="8" spans="1:13">
      <c r="B8" s="11" t="s">
        <v>469</v>
      </c>
      <c r="C8" t="s">
        <v>393</v>
      </c>
      <c r="D8" t="s">
        <v>273</v>
      </c>
      <c r="E8" s="6">
        <v>72540.91133881468</v>
      </c>
      <c r="F8" s="32">
        <v>1576.9675896872789</v>
      </c>
      <c r="G8" s="61">
        <f>IF(ISERROR(F8/E8),"n/a",F8/E8)</f>
        <v>2.173900989914206E-2</v>
      </c>
      <c r="I8" s="23">
        <v>2.2330748813648089</v>
      </c>
      <c r="K8" s="32">
        <f>F8*I8</f>
        <v>3521.4867132570689</v>
      </c>
      <c r="L8" s="61">
        <f>IF(ISERROR(K8/E8),"n/a",K8/E8)</f>
        <v>4.8544836951515062E-2</v>
      </c>
    </row>
    <row r="9" spans="1:13">
      <c r="D9" t="s">
        <v>368</v>
      </c>
      <c r="E9" s="6">
        <v>4008.1797865425483</v>
      </c>
      <c r="F9" s="32">
        <v>87.13386005718958</v>
      </c>
      <c r="G9" s="61">
        <f>IF(ISERROR(F9/E9),"n/a",F9/E9)</f>
        <v>2.1739009899142063E-2</v>
      </c>
      <c r="I9" s="23">
        <v>2.2330748813648089</v>
      </c>
      <c r="K9" s="32">
        <f>F9*I9</f>
        <v>194.57643421006648</v>
      </c>
      <c r="L9" s="61">
        <f>IF(ISERROR(K9/E9),"n/a",K9/E9)</f>
        <v>4.8544836951515069E-2</v>
      </c>
    </row>
    <row r="10" spans="1:13">
      <c r="D10" t="s">
        <v>274</v>
      </c>
      <c r="E10" s="6">
        <v>96409.078712960079</v>
      </c>
      <c r="F10" s="32">
        <v>2095.8379165082056</v>
      </c>
      <c r="G10" s="61">
        <f>IF(ISERROR(F10/E10),"n/a",F10/E10)</f>
        <v>2.1739009899142063E-2</v>
      </c>
      <c r="I10" s="23">
        <v>2.2330748813648089</v>
      </c>
      <c r="K10" s="32">
        <f>F10*I10</f>
        <v>4680.1630067664291</v>
      </c>
      <c r="L10" s="61">
        <f>IF(ISERROR(K10/E10),"n/a",K10/E10)</f>
        <v>4.8544836951515069E-2</v>
      </c>
    </row>
    <row r="11" spans="1:13">
      <c r="E11" s="6"/>
    </row>
    <row r="12" spans="1:13">
      <c r="B12" t="s">
        <v>402</v>
      </c>
      <c r="C12" s="11" t="s">
        <v>6</v>
      </c>
      <c r="D12" t="s">
        <v>368</v>
      </c>
      <c r="E12" s="6">
        <v>16936.488359984214</v>
      </c>
      <c r="F12" s="32">
        <v>368.18248811440117</v>
      </c>
      <c r="G12" s="61">
        <f>IF(ISERROR(F12/E12),"n/a",F12/E12)</f>
        <v>2.1739009899142063E-2</v>
      </c>
      <c r="I12" s="23">
        <v>2.2330748813648089</v>
      </c>
      <c r="K12" s="32">
        <f>F12*I12</f>
        <v>822.1790659666666</v>
      </c>
      <c r="L12" s="61">
        <f>IF(ISERROR(K12/E12),"n/a",K12/E12)</f>
        <v>4.8544836951515076E-2</v>
      </c>
    </row>
    <row r="13" spans="1:13">
      <c r="C13" s="11" t="s">
        <v>648</v>
      </c>
      <c r="D13" t="s">
        <v>274</v>
      </c>
      <c r="E13" s="6">
        <v>278110.92171788111</v>
      </c>
      <c r="F13" s="32">
        <v>6045.8560802845404</v>
      </c>
      <c r="G13" s="61">
        <f>IF(ISERROR(F13/E13),"n/a",F13/E13)</f>
        <v>2.1739009899142063E-2</v>
      </c>
      <c r="I13" s="23">
        <v>2.2330748813648089</v>
      </c>
      <c r="K13" s="32">
        <f>F13*I13</f>
        <v>13500.84934923011</v>
      </c>
      <c r="L13" s="61">
        <f>IF(ISERROR(K13/E13),"n/a",K13/E13)</f>
        <v>4.8544836951515069E-2</v>
      </c>
    </row>
    <row r="14" spans="1:13">
      <c r="E14" s="6"/>
    </row>
    <row r="15" spans="1:13">
      <c r="B15" t="s">
        <v>395</v>
      </c>
      <c r="C15" s="11" t="s">
        <v>6</v>
      </c>
      <c r="D15" t="s">
        <v>368</v>
      </c>
      <c r="E15" s="6">
        <v>3847.4578945667217</v>
      </c>
      <c r="F15" s="32">
        <v>83.639925256518239</v>
      </c>
      <c r="G15" s="61">
        <f>IF(ISERROR(F15/E15),"n/a",F15/E15)</f>
        <v>2.1739009899142063E-2</v>
      </c>
      <c r="I15" s="23">
        <v>2.2330748813648089</v>
      </c>
      <c r="K15" s="32">
        <f>F15*I15</f>
        <v>186.77421616956096</v>
      </c>
      <c r="L15" s="61">
        <f>IF(ISERROR(K15/E15),"n/a",K15/E15)</f>
        <v>4.8544836951515069E-2</v>
      </c>
    </row>
    <row r="16" spans="1:13">
      <c r="B16" s="204"/>
      <c r="C16" s="238" t="s">
        <v>6</v>
      </c>
      <c r="D16" s="204" t="s">
        <v>274</v>
      </c>
      <c r="E16" s="10">
        <v>29216.411754933612</v>
      </c>
      <c r="F16" s="131">
        <v>635.13586435791228</v>
      </c>
      <c r="G16" s="129">
        <f>IF(ISERROR(F16/E16),"n/a",F16/E16)</f>
        <v>2.1739009899142063E-2</v>
      </c>
      <c r="H16" s="204"/>
      <c r="I16" s="338">
        <v>2.2330748813648089</v>
      </c>
      <c r="J16" s="204"/>
      <c r="K16" s="131">
        <f>F16*I16</f>
        <v>1418.3059449515804</v>
      </c>
      <c r="L16" s="129">
        <f>IF(ISERROR(K16/E16),"n/a",K16/E16)</f>
        <v>4.8544836951515069E-2</v>
      </c>
    </row>
    <row r="17" spans="1:12">
      <c r="D17" s="339" t="s">
        <v>401</v>
      </c>
      <c r="E17" s="6">
        <f>SUM(E4:E16)</f>
        <v>918409.42399514327</v>
      </c>
      <c r="F17" s="32">
        <f>SUM(F4:F16)</f>
        <v>19965.311559695776</v>
      </c>
      <c r="G17" s="61">
        <f>IF(ISERROR(F17/E17),"n/a",F17/E17)</f>
        <v>2.173900989914206E-2</v>
      </c>
      <c r="K17" s="32">
        <f>SUM(K4:K16)</f>
        <v>44584.035742579093</v>
      </c>
      <c r="L17" s="61">
        <f>IF(ISERROR(K17/E17),"n/a",K17/E17)</f>
        <v>4.8544836951515062E-2</v>
      </c>
    </row>
    <row r="19" spans="1:12">
      <c r="A19" s="17" t="s">
        <v>406</v>
      </c>
      <c r="B19" t="s">
        <v>402</v>
      </c>
      <c r="C19" t="s">
        <v>393</v>
      </c>
      <c r="D19" t="s">
        <v>273</v>
      </c>
      <c r="E19" s="6">
        <v>47070.151882035869</v>
      </c>
      <c r="F19" s="32">
        <v>1023.2584977176981</v>
      </c>
      <c r="G19" s="61">
        <f>IF(ISERROR(F19/E19),"n/a",F19/E19)</f>
        <v>2.1739009899142063E-2</v>
      </c>
      <c r="I19" s="23">
        <v>2.2330748813648089</v>
      </c>
      <c r="K19" s="32">
        <f>F19*I19</f>
        <v>2285.0128483964813</v>
      </c>
      <c r="L19" s="61">
        <f>IF(ISERROR(K19/E19),"n/a",K19/E19)</f>
        <v>4.8544836951515069E-2</v>
      </c>
    </row>
    <row r="20" spans="1:12">
      <c r="D20" t="s">
        <v>368</v>
      </c>
      <c r="E20" s="6">
        <v>31853.249916660596</v>
      </c>
      <c r="F20" s="32">
        <v>692.45811525813087</v>
      </c>
      <c r="G20" s="61">
        <f>IF(ISERROR(F20/E20),"n/a",F20/E20)</f>
        <v>2.1739009899142066E-2</v>
      </c>
      <c r="I20" s="23">
        <v>2.2330748813648089</v>
      </c>
      <c r="K20" s="32">
        <f>F20*I20</f>
        <v>1546.3108235801499</v>
      </c>
      <c r="L20" s="61">
        <f>IF(ISERROR(K20/E20),"n/a",K20/E20)</f>
        <v>4.8544836951515076E-2</v>
      </c>
    </row>
    <row r="21" spans="1:12">
      <c r="D21" t="s">
        <v>274</v>
      </c>
      <c r="E21" s="6">
        <v>1340.4546788671207</v>
      </c>
      <c r="F21" s="32">
        <v>29.140157533243634</v>
      </c>
      <c r="G21" s="61">
        <f>IF(ISERROR(F21/E21),"n/a",F21/E21)</f>
        <v>2.1739009899142063E-2</v>
      </c>
      <c r="I21" s="23">
        <v>2.2330748813648089</v>
      </c>
      <c r="K21" s="32">
        <f>F21*I21</f>
        <v>65.072153826499871</v>
      </c>
      <c r="L21" s="61">
        <f>IF(ISERROR(K21/E21),"n/a",K21/E21)</f>
        <v>4.8544836951515069E-2</v>
      </c>
    </row>
    <row r="22" spans="1:12">
      <c r="E22" s="6"/>
      <c r="F22" s="6"/>
    </row>
    <row r="23" spans="1:12">
      <c r="B23" s="11" t="s">
        <v>469</v>
      </c>
      <c r="C23" t="s">
        <v>393</v>
      </c>
      <c r="D23" t="s">
        <v>273</v>
      </c>
      <c r="E23" s="6">
        <v>13951.247551615514</v>
      </c>
      <c r="F23" s="32">
        <v>303.28630862995112</v>
      </c>
      <c r="G23" s="61">
        <f>IF(ISERROR(F23/E23),"n/a",F23/E23)</f>
        <v>2.1739009899142063E-2</v>
      </c>
      <c r="I23" s="23">
        <v>2.2330748813648089</v>
      </c>
      <c r="K23" s="32">
        <f>F23*I23</f>
        <v>677.26103766339895</v>
      </c>
      <c r="L23" s="61">
        <f>IF(ISERROR(K23/E23),"n/a",K23/E23)</f>
        <v>4.8544836951515069E-2</v>
      </c>
    </row>
    <row r="24" spans="1:12">
      <c r="D24" t="s">
        <v>368</v>
      </c>
      <c r="E24" s="6">
        <v>770.86305370850391</v>
      </c>
      <c r="F24" s="32">
        <v>16.757799555452046</v>
      </c>
      <c r="G24" s="61">
        <f>IF(ISERROR(F24/E24),"n/a",F24/E24)</f>
        <v>2.1739009899142063E-2</v>
      </c>
      <c r="I24" s="23">
        <v>2.2330748813648089</v>
      </c>
      <c r="K24" s="32">
        <f>F24*I24</f>
        <v>37.421421254226324</v>
      </c>
      <c r="L24" s="61">
        <f>IF(ISERROR(K24/E24),"n/a",K24/E24)</f>
        <v>4.8544836951515069E-2</v>
      </c>
    </row>
    <row r="25" spans="1:12">
      <c r="D25" t="s">
        <v>274</v>
      </c>
      <c r="E25" s="6">
        <v>18541.632556358643</v>
      </c>
      <c r="F25" s="32">
        <v>403.07673368893529</v>
      </c>
      <c r="G25" s="61">
        <f>IF(ISERROR(F25/E25),"n/a",F25/E25)</f>
        <v>2.1739009899142063E-2</v>
      </c>
      <c r="I25" s="23">
        <v>2.2330748813648089</v>
      </c>
      <c r="K25" s="32">
        <f>F25*I25</f>
        <v>900.1005292633339</v>
      </c>
      <c r="L25" s="61">
        <f>IF(ISERROR(K25/E25),"n/a",K25/E25)</f>
        <v>4.8544836951515069E-2</v>
      </c>
    </row>
    <row r="26" spans="1:12">
      <c r="E26" s="6"/>
    </row>
    <row r="27" spans="1:12">
      <c r="B27" t="s">
        <v>402</v>
      </c>
      <c r="C27" s="11" t="s">
        <v>6</v>
      </c>
      <c r="D27" s="11" t="s">
        <v>368</v>
      </c>
      <c r="E27" s="6">
        <v>3257.2673461680738</v>
      </c>
      <c r="F27" s="32">
        <v>70.809767082499945</v>
      </c>
      <c r="G27" s="61">
        <f>IF(ISERROR(F27/E27),"n/a",F27/E27)</f>
        <v>2.173900989914206E-2</v>
      </c>
      <c r="I27" s="23">
        <v>2.2330748813648089</v>
      </c>
      <c r="K27" s="32">
        <f>F27*I27</f>
        <v>158.12351222722333</v>
      </c>
      <c r="L27" s="61">
        <f>IF(ISERROR(K27/E27),"n/a",K27/E27)</f>
        <v>4.8544836951515069E-2</v>
      </c>
    </row>
    <row r="28" spans="1:12" ht="14">
      <c r="C28" s="11" t="s">
        <v>648</v>
      </c>
      <c r="D28" t="s">
        <v>274</v>
      </c>
      <c r="E28" s="6">
        <v>0</v>
      </c>
      <c r="F28" s="32">
        <v>0</v>
      </c>
      <c r="G28" s="61" t="str">
        <f>IF(ISERROR(F28/E28),"n/a",F28/E28)</f>
        <v>n/a</v>
      </c>
      <c r="I28" s="23">
        <v>2.2330748813648089</v>
      </c>
      <c r="K28" s="32">
        <f>F28*I28</f>
        <v>0</v>
      </c>
      <c r="L28" s="61" t="str">
        <f>IF(ISERROR(K28/E28),"n/a",K28/E28)</f>
        <v>n/a</v>
      </c>
    </row>
    <row r="29" spans="1:12">
      <c r="E29" s="6"/>
    </row>
    <row r="30" spans="1:12">
      <c r="B30" t="s">
        <v>395</v>
      </c>
      <c r="C30" s="11" t="s">
        <v>6</v>
      </c>
      <c r="D30" t="s">
        <v>368</v>
      </c>
      <c r="E30" s="6">
        <v>739.95262178070743</v>
      </c>
      <c r="F30" s="32">
        <v>16.085837369786923</v>
      </c>
      <c r="G30" s="61">
        <f>IF(ISERROR(F30/E30),"n/a",F30/E30)</f>
        <v>2.1739009899142063E-2</v>
      </c>
      <c r="I30" s="23">
        <v>2.2330748813648089</v>
      </c>
      <c r="K30" s="32">
        <f>F30*I30</f>
        <v>35.920879376190541</v>
      </c>
      <c r="L30" s="61">
        <f>IF(ISERROR(K30/E30),"n/a",K30/E30)</f>
        <v>4.8544836951515069E-2</v>
      </c>
    </row>
    <row r="31" spans="1:12">
      <c r="B31" s="204"/>
      <c r="C31" s="238" t="s">
        <v>6</v>
      </c>
      <c r="D31" s="204" t="s">
        <v>274</v>
      </c>
      <c r="E31" s="10">
        <v>5618.9725968456323</v>
      </c>
      <c r="F31" s="131">
        <v>122.15090090583519</v>
      </c>
      <c r="G31" s="129">
        <f>IF(ISERROR(F31/E31),"n/a",F31/E31)</f>
        <v>2.1739009899142063E-2</v>
      </c>
      <c r="H31" s="204"/>
      <c r="I31" s="338">
        <v>2.2330748813648089</v>
      </c>
      <c r="J31" s="204"/>
      <c r="K31" s="131">
        <f>F31*I31</f>
        <v>272.77210854890245</v>
      </c>
      <c r="L31" s="129">
        <f>IF(ISERROR(K31/E31),"n/a",K31/E31)</f>
        <v>4.8544836951515069E-2</v>
      </c>
    </row>
    <row r="32" spans="1:12">
      <c r="D32" s="339" t="s">
        <v>400</v>
      </c>
      <c r="E32" s="6">
        <f>SUM(E19:E31)</f>
        <v>123143.79220404064</v>
      </c>
      <c r="F32" s="32">
        <f>SUM(F19:F31)</f>
        <v>2677.0241177415328</v>
      </c>
      <c r="G32" s="61">
        <f>IF(ISERROR(F32/E32),"n/a",F32/E32)</f>
        <v>2.1739009899142063E-2</v>
      </c>
      <c r="K32" s="32">
        <f>SUM(K19:K31)</f>
        <v>5977.9953141364076</v>
      </c>
      <c r="L32" s="61">
        <f>IF(ISERROR(K32/E32),"n/a",K32/E32)</f>
        <v>4.854483695151509E-2</v>
      </c>
    </row>
    <row r="34" spans="1:12">
      <c r="A34" s="17" t="s">
        <v>407</v>
      </c>
      <c r="B34" t="s">
        <v>402</v>
      </c>
      <c r="C34" s="11" t="s">
        <v>404</v>
      </c>
      <c r="D34" s="11" t="s">
        <v>368</v>
      </c>
      <c r="E34" s="6">
        <v>767077.48815604113</v>
      </c>
      <c r="F34" s="32">
        <v>7436.4282308990914</v>
      </c>
      <c r="G34" s="61">
        <f>IF(ISERROR(F34/E34),"n/a",F34/E34)</f>
        <v>9.6944941622199611E-3</v>
      </c>
      <c r="I34" s="23">
        <v>2.2330748813648089</v>
      </c>
      <c r="K34" s="32">
        <f>F34*I34</f>
        <v>16606.101089492906</v>
      </c>
      <c r="L34" s="61">
        <f>IF(ISERROR(K34/E34),"n/a",K34/E34)</f>
        <v>2.1648531401191173E-2</v>
      </c>
    </row>
    <row r="35" spans="1:12">
      <c r="E35" s="6"/>
      <c r="F35" s="32"/>
    </row>
    <row r="36" spans="1:12">
      <c r="B36" t="s">
        <v>395</v>
      </c>
      <c r="C36" t="s">
        <v>404</v>
      </c>
      <c r="D36" t="s">
        <v>368</v>
      </c>
      <c r="E36" s="6">
        <v>130347.17422346932</v>
      </c>
      <c r="F36" s="32">
        <v>1263.6499195712915</v>
      </c>
      <c r="G36" s="61">
        <f>IF(ISERROR(F36/E36),"n/a",F36/E36)</f>
        <v>9.6944941622199611E-3</v>
      </c>
      <c r="I36" s="23">
        <v>2.2330748813648089</v>
      </c>
      <c r="K36" s="32">
        <f>F36*I36</f>
        <v>2821.8248942333121</v>
      </c>
      <c r="L36" s="61">
        <f>IF(ISERROR(K36/E36),"n/a",K36/E36)</f>
        <v>2.1648531401191173E-2</v>
      </c>
    </row>
    <row r="37" spans="1:12">
      <c r="B37" s="204"/>
      <c r="C37" s="204"/>
      <c r="D37" s="204" t="s">
        <v>274</v>
      </c>
      <c r="E37" s="10">
        <v>410473.93495841685</v>
      </c>
      <c r="F37" s="131">
        <v>3979.3371661978285</v>
      </c>
      <c r="G37" s="129">
        <f>IF(ISERROR(F37/E37),"n/a",F37/E37)</f>
        <v>9.6944941622199611E-3</v>
      </c>
      <c r="H37" s="204"/>
      <c r="I37" s="338">
        <v>2.2330748813648089</v>
      </c>
      <c r="J37" s="204"/>
      <c r="K37" s="131">
        <f>F37*I37</f>
        <v>8886.1578703177911</v>
      </c>
      <c r="L37" s="129">
        <f>IF(ISERROR(K37/E37),"n/a",K37/E37)</f>
        <v>2.1648531401191176E-2</v>
      </c>
    </row>
    <row r="38" spans="1:12">
      <c r="D38" s="339" t="s">
        <v>408</v>
      </c>
      <c r="E38" s="6">
        <f>SUM(E34:E37)</f>
        <v>1307898.5973379272</v>
      </c>
      <c r="F38" s="32">
        <f>SUM(F34:F37)</f>
        <v>12679.415316668212</v>
      </c>
      <c r="G38" s="61">
        <f>IF(ISERROR(F38/E38),"n/a",F38/E38)</f>
        <v>9.6944941622199611E-3</v>
      </c>
      <c r="K38" s="32">
        <f>SUM(K34:K37)</f>
        <v>28314.083854044009</v>
      </c>
      <c r="L38" s="61">
        <f>IF(ISERROR(K38/E38),"n/a",K38/E38)</f>
        <v>2.1648531401191176E-2</v>
      </c>
    </row>
    <row r="39" spans="1:12">
      <c r="D39" s="339"/>
      <c r="E39" s="6"/>
      <c r="F39" s="32"/>
      <c r="G39" s="61"/>
      <c r="K39" s="32"/>
      <c r="L39" s="61"/>
    </row>
    <row r="40" spans="1:12">
      <c r="D40" s="13" t="s">
        <v>264</v>
      </c>
      <c r="E40" s="6">
        <f>SUM(E17,E32,E38)</f>
        <v>2349451.813537111</v>
      </c>
      <c r="F40" s="32">
        <f>SUM(F17,F32,F38)</f>
        <v>35321.750994105518</v>
      </c>
      <c r="G40" s="61">
        <f>IF(ISERROR(F40/E40),"n/a",F40/E40)</f>
        <v>1.5034039340831787E-2</v>
      </c>
      <c r="K40" s="32">
        <f>SUM(K17,K32,K38)</f>
        <v>78876.114910759512</v>
      </c>
      <c r="L40" s="61">
        <f>IF(ISERROR(K40/E40),"n/a",K40/E40)</f>
        <v>3.3572135617461821E-2</v>
      </c>
    </row>
    <row r="41" spans="1:12" hidden="1"/>
    <row r="42" spans="1:12" hidden="1">
      <c r="C42" s="28"/>
      <c r="D42" s="28" t="s">
        <v>186</v>
      </c>
      <c r="E42" s="105">
        <v>0</v>
      </c>
      <c r="F42" s="105">
        <v>0</v>
      </c>
    </row>
    <row r="43" spans="1:12" hidden="1">
      <c r="E43" s="105">
        <v>0</v>
      </c>
      <c r="F43" s="105">
        <v>0</v>
      </c>
    </row>
    <row r="44" spans="1:12" hidden="1">
      <c r="E44" s="105">
        <v>0</v>
      </c>
      <c r="F44" s="105">
        <v>0</v>
      </c>
    </row>
    <row r="45" spans="1:12" hidden="1">
      <c r="E45" s="105">
        <v>0</v>
      </c>
      <c r="F45" s="105">
        <v>0</v>
      </c>
    </row>
    <row r="46" spans="1:12">
      <c r="A46" s="103"/>
      <c r="B46" s="204"/>
      <c r="C46" s="213"/>
      <c r="D46" s="213"/>
      <c r="E46" s="213"/>
    </row>
    <row r="47" spans="1:12">
      <c r="A47" s="4" t="s">
        <v>230</v>
      </c>
    </row>
    <row r="48" spans="1:12">
      <c r="A48" s="2" t="s">
        <v>396</v>
      </c>
    </row>
    <row r="49" spans="1:1">
      <c r="A49" s="11" t="s">
        <v>470</v>
      </c>
    </row>
    <row r="50" spans="1:1">
      <c r="A50" s="17" t="s">
        <v>802</v>
      </c>
    </row>
    <row r="51" spans="1:1">
      <c r="A51" s="17" t="s">
        <v>801</v>
      </c>
    </row>
    <row r="52" spans="1:1">
      <c r="A52" s="2" t="s">
        <v>409</v>
      </c>
    </row>
    <row r="53" spans="1:1">
      <c r="A53" s="17" t="s">
        <v>7</v>
      </c>
    </row>
    <row r="54" spans="1:1">
      <c r="A54" s="17" t="s">
        <v>649</v>
      </c>
    </row>
    <row r="55" spans="1:1">
      <c r="A55" s="17" t="s">
        <v>8</v>
      </c>
    </row>
    <row r="56" spans="1:1">
      <c r="A56" s="17" t="s">
        <v>650</v>
      </c>
    </row>
    <row r="57" spans="1:1">
      <c r="A57" s="11"/>
    </row>
  </sheetData>
  <phoneticPr fontId="5" type="noConversion"/>
  <printOptions horizontalCentered="1"/>
  <pageMargins left="0.75" right="0.75" top="1" bottom="1" header="0.5" footer="0.5"/>
  <pageSetup scale="70" orientation="landscape" r:id="rId1"/>
  <headerFooter alignWithMargins="0">
    <oddFooter>&amp;L&amp;F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pageSetUpPr fitToPage="1"/>
  </sheetPr>
  <dimension ref="A1:O26"/>
  <sheetViews>
    <sheetView zoomScale="70" workbookViewId="0"/>
  </sheetViews>
  <sheetFormatPr baseColWidth="10" defaultColWidth="8.83203125" defaultRowHeight="13"/>
  <cols>
    <col min="1" max="1" width="12.5" customWidth="1"/>
    <col min="2" max="2" width="15.83203125" customWidth="1"/>
    <col min="3" max="7" width="11.5" customWidth="1"/>
    <col min="8" max="8" width="3.5" customWidth="1"/>
    <col min="9" max="9" width="11.5" customWidth="1"/>
    <col min="10" max="10" width="3.5" customWidth="1"/>
    <col min="11" max="14" width="11.5" customWidth="1"/>
  </cols>
  <sheetData>
    <row r="1" spans="1:15" ht="16">
      <c r="A1" s="117" t="s">
        <v>14</v>
      </c>
      <c r="B1" s="117"/>
    </row>
    <row r="2" spans="1:15" ht="16">
      <c r="A2" s="117" t="s">
        <v>780</v>
      </c>
      <c r="B2" s="335"/>
    </row>
    <row r="3" spans="1:15" ht="42">
      <c r="A3" s="337" t="s">
        <v>394</v>
      </c>
      <c r="B3" s="336" t="s">
        <v>343</v>
      </c>
      <c r="C3" s="125" t="s">
        <v>245</v>
      </c>
      <c r="D3" s="138" t="s">
        <v>668</v>
      </c>
      <c r="E3" s="138" t="s">
        <v>35</v>
      </c>
      <c r="F3" s="138" t="s">
        <v>212</v>
      </c>
      <c r="G3" s="8" t="s">
        <v>99</v>
      </c>
      <c r="H3" s="8"/>
      <c r="I3" s="142" t="s">
        <v>399</v>
      </c>
      <c r="J3" s="65"/>
      <c r="K3" s="138" t="s">
        <v>36</v>
      </c>
      <c r="L3" s="138" t="s">
        <v>37</v>
      </c>
      <c r="M3" s="119" t="s">
        <v>213</v>
      </c>
      <c r="N3" s="31" t="s">
        <v>128</v>
      </c>
      <c r="O3" s="4"/>
    </row>
    <row r="4" spans="1:15">
      <c r="A4" s="11" t="s">
        <v>2</v>
      </c>
      <c r="B4" t="s">
        <v>273</v>
      </c>
      <c r="C4" s="6">
        <f>SUM('Table 3.26-REC Detail NonACS'!E4,'Table 3.26-REC Detail NonACS'!E19)</f>
        <v>24791.984791831732</v>
      </c>
      <c r="D4" s="32">
        <f>SUM('Table 3.26-REC Detail NonACS'!F4,'Table 3.26-REC Detail NonACS'!F19)</f>
        <v>2104.1596991671208</v>
      </c>
      <c r="E4" s="32">
        <f>SUM('Table 3.27-REC Detail ACS'!F4,'Table 3.27-REC Detail ACS'!F19)</f>
        <v>0</v>
      </c>
      <c r="F4" s="81">
        <f>SUM(D4:E4)</f>
        <v>2104.1596991671208</v>
      </c>
      <c r="G4" s="61">
        <f>IF(ISERROR(F4/C4),"n/a",F4/C4)</f>
        <v>8.4872579458034475E-2</v>
      </c>
      <c r="I4" s="23">
        <v>1.2615773174013249</v>
      </c>
      <c r="K4" s="32">
        <f>D4*I4</f>
        <v>2654.5601486592354</v>
      </c>
      <c r="L4" s="32">
        <f>E4*I4</f>
        <v>0</v>
      </c>
      <c r="M4" s="32">
        <f>SUM(K4:L4)</f>
        <v>2654.5601486592354</v>
      </c>
      <c r="N4" s="61">
        <f>IF(ISERROR(M4/C4),"n/a",M4/C4)</f>
        <v>0.10707332111359794</v>
      </c>
    </row>
    <row r="5" spans="1:15">
      <c r="B5" s="11" t="s">
        <v>368</v>
      </c>
      <c r="C5" s="6">
        <f>SUM('Table 3.26-REC Detail NonACS'!E5,'Table 3.26-REC Detail NonACS'!E12,'Table 3.26-REC Detail NonACS'!E20,'Table 3.26-REC Detail NonACS'!E27,'Table 3.26-REC Detail NonACS'!E34)</f>
        <v>134864.42513772906</v>
      </c>
      <c r="D5" s="32">
        <f>SUM('Table 3.26-REC Detail NonACS'!F5,'Table 3.26-REC Detail NonACS'!F12,'Table 3.26-REC Detail NonACS'!F20,'Table 3.26-REC Detail NonACS'!F27,'Table 3.26-REC Detail NonACS'!F34)</f>
        <v>11446.291638564049</v>
      </c>
      <c r="E5" s="32">
        <f>SUM('Table 3.27-REC Detail ACS'!F5,'Table 3.27-REC Detail ACS'!F12,'Table 3.27-REC Detail ACS'!F20,'Table 3.27-REC Detail ACS'!F27,'Table 3.27-REC Detail ACS'!F34)</f>
        <v>0</v>
      </c>
      <c r="F5" s="81">
        <f>SUM(D5:E5)</f>
        <v>11446.291638564049</v>
      </c>
      <c r="G5" s="61">
        <f>IF(ISERROR(F5/C5),"n/a",F5/C5)</f>
        <v>8.4872579458034447E-2</v>
      </c>
      <c r="I5" s="23">
        <v>1.2615773174013249</v>
      </c>
      <c r="K5" s="32">
        <f>D5*I5</f>
        <v>14440.381899572849</v>
      </c>
      <c r="L5" s="32">
        <f>E5*I5</f>
        <v>0</v>
      </c>
      <c r="M5" s="32">
        <f>SUM(K5:L5)</f>
        <v>14440.381899572849</v>
      </c>
      <c r="N5" s="61">
        <f>IF(ISERROR(M5/C5),"n/a",M5/C5)</f>
        <v>0.10707332111359789</v>
      </c>
    </row>
    <row r="6" spans="1:15">
      <c r="B6" t="s">
        <v>274</v>
      </c>
      <c r="C6" s="6">
        <f>SUM('Table 3.26-REC Detail NonACS'!E6,'Table 3.26-REC Detail NonACS'!E13,'Table 3.26-REC Detail NonACS'!E21,'Table 3.26-REC Detail NonACS'!E28)</f>
        <v>20763.37782805389</v>
      </c>
      <c r="D6" s="32">
        <f>SUM('Table 3.26-REC Detail NonACS'!F6,'Table 3.26-REC Detail NonACS'!F13,'Table 3.26-REC Detail NonACS'!F21,'Table 3.26-REC Detail NonACS'!F28)</f>
        <v>1762.2414345286952</v>
      </c>
      <c r="E6" s="32">
        <f>SUM('Table 3.27-REC Detail ACS'!F6,'Table 3.27-REC Detail ACS'!F13,'Table 3.27-REC Detail ACS'!F21,'Table 3.27-REC Detail ACS'!F28)</f>
        <v>0</v>
      </c>
      <c r="F6" s="81">
        <f>SUM(D6:E6)</f>
        <v>1762.2414345286952</v>
      </c>
      <c r="G6" s="61">
        <f>IF(ISERROR(F6/C6),"n/a",F6/C6)</f>
        <v>8.4872579458034489E-2</v>
      </c>
      <c r="I6" s="23">
        <v>1.2615773174013249</v>
      </c>
      <c r="K6" s="32">
        <f>D6*I6</f>
        <v>2223.2038215861739</v>
      </c>
      <c r="L6" s="32">
        <f>E6*I6</f>
        <v>0</v>
      </c>
      <c r="M6" s="32">
        <f>SUM(K6:L6)</f>
        <v>2223.2038215861739</v>
      </c>
      <c r="N6" s="61">
        <f>IF(ISERROR(M6/C6),"n/a",M6/C6)</f>
        <v>0.10707332111359794</v>
      </c>
    </row>
    <row r="7" spans="1:15">
      <c r="C7" s="6"/>
      <c r="D7" s="32"/>
      <c r="E7" s="32"/>
    </row>
    <row r="8" spans="1:15">
      <c r="A8" s="11" t="s">
        <v>3</v>
      </c>
      <c r="B8" t="s">
        <v>273</v>
      </c>
      <c r="C8" s="6">
        <f>SUM('Table 3.26-REC Detail NonACS'!E8,'Table 3.26-REC Detail NonACS'!E23)</f>
        <v>7348.1623342442363</v>
      </c>
      <c r="D8" s="32">
        <f>SUM('Table 3.26-REC Detail NonACS'!F8,'Table 3.26-REC Detail NonACS'!F23)</f>
        <v>311.82874579183988</v>
      </c>
      <c r="E8" s="32">
        <f>SUM('Table 3.27-REC Detail ACS'!F8,'Table 3.27-REC Detail ACS'!F23)</f>
        <v>586.93448197073656</v>
      </c>
      <c r="F8" s="81">
        <f>SUM(D8:E8)</f>
        <v>898.76322776257643</v>
      </c>
      <c r="G8" s="61">
        <f>IF(ISERROR(F8/C8),"n/a",F8/C8)</f>
        <v>0.12231129184151521</v>
      </c>
      <c r="I8" s="23">
        <v>1.2615773174013249</v>
      </c>
      <c r="K8" s="32">
        <f>D8*I8</f>
        <v>393.39607260468904</v>
      </c>
      <c r="L8" s="32">
        <f>E8*I8</f>
        <v>740.46322925497816</v>
      </c>
      <c r="M8" s="32">
        <f>SUM(K8:L8)</f>
        <v>1133.8593018596671</v>
      </c>
      <c r="N8" s="61">
        <f>IF(ISERROR(M8/C8),"n/a",M8/C8)</f>
        <v>0.15430515144930931</v>
      </c>
    </row>
    <row r="9" spans="1:15">
      <c r="B9" s="11" t="s">
        <v>368</v>
      </c>
      <c r="C9" s="6">
        <f>SUM('Table 3.26-REC Detail NonACS'!E9,'Table 3.26-REC Detail NonACS'!E24)</f>
        <v>406.01579429829525</v>
      </c>
      <c r="D9" s="32">
        <f>SUM('Table 3.26-REC Detail NonACS'!F9,'Table 3.26-REC Detail NonACS'!F24)</f>
        <v>17.229803881399523</v>
      </c>
      <c r="E9" s="32">
        <f>SUM('Table 3.27-REC Detail ACS'!F9,'Table 3.27-REC Detail ACS'!F24)</f>
        <v>32.430512427283894</v>
      </c>
      <c r="F9" s="81">
        <f>SUM(D9:E9)</f>
        <v>49.66031630868342</v>
      </c>
      <c r="G9" s="61">
        <f>IF(ISERROR(F9/C9),"n/a",F9/C9)</f>
        <v>0.12231129184151526</v>
      </c>
      <c r="I9" s="23">
        <v>1.2615773174013249</v>
      </c>
      <c r="K9" s="32">
        <f>D9*I9</f>
        <v>21.736729760046945</v>
      </c>
      <c r="L9" s="32">
        <f>E9*I9</f>
        <v>40.913598869963145</v>
      </c>
      <c r="M9" s="32">
        <f>SUM(K9:L9)</f>
        <v>62.650328630010094</v>
      </c>
      <c r="N9" s="61">
        <f>IF(ISERROR(M9/C9),"n/a",M9/C9)</f>
        <v>0.1543051514493094</v>
      </c>
    </row>
    <row r="10" spans="1:15">
      <c r="B10" t="s">
        <v>274</v>
      </c>
      <c r="C10" s="6">
        <f>SUM('Table 3.26-REC Detail NonACS'!E10,'Table 3.26-REC Detail NonACS'!E25)</f>
        <v>9765.9313593252264</v>
      </c>
      <c r="D10" s="32">
        <f>SUM('Table 3.26-REC Detail NonACS'!F10,'Table 3.26-REC Detail NonACS'!F25)</f>
        <v>414.42989263802048</v>
      </c>
      <c r="E10" s="32">
        <f>SUM('Table 3.27-REC Detail ACS'!F10,'Table 3.27-REC Detail ACS'!F25)</f>
        <v>780.05378795661295</v>
      </c>
      <c r="F10" s="81">
        <f>SUM(D10:E10)</f>
        <v>1194.4836805946334</v>
      </c>
      <c r="G10" s="61">
        <f>IF(ISERROR(F10/C10),"n/a",F10/C10)</f>
        <v>0.12231129184151524</v>
      </c>
      <c r="I10" s="23">
        <v>1.2615773174013249</v>
      </c>
      <c r="K10" s="32">
        <f>D10*I10</f>
        <v>522.83535220519298</v>
      </c>
      <c r="L10" s="32">
        <f>E10*I10</f>
        <v>984.09816523904567</v>
      </c>
      <c r="M10" s="32">
        <f>SUM(K10:L10)</f>
        <v>1506.9335174442385</v>
      </c>
      <c r="N10" s="61">
        <f>IF(ISERROR(M10/C10),"n/a",M10/C10)</f>
        <v>0.15430515144930934</v>
      </c>
    </row>
    <row r="11" spans="1:15">
      <c r="C11" s="6"/>
      <c r="D11" s="32"/>
      <c r="E11" s="32"/>
    </row>
    <row r="12" spans="1:15">
      <c r="A12" s="11" t="s">
        <v>4</v>
      </c>
      <c r="B12" s="11" t="s">
        <v>368</v>
      </c>
      <c r="C12" s="6">
        <f>SUM('Table 3.26-REC Detail NonACS'!E15,'Table 3.26-REC Detail NonACS'!E30,'Table 3.26-REC Detail NonACS'!E36)</f>
        <v>20164.41418171021</v>
      </c>
      <c r="D12" s="32">
        <f>SUM('Table 3.26-REC Detail NonACS'!F15,'Table 3.26-REC Detail NonACS'!F30,'Table 3.26-REC Detail NonACS'!F36)</f>
        <v>855.70292243095832</v>
      </c>
      <c r="E12" s="32">
        <f>SUM('Table 3.27-REC Detail ACS'!F15,'Table 3.27-REC Detail ACS'!F30,'Table 3.27-REC Detail ACS'!F36)</f>
        <v>1610.6326253613879</v>
      </c>
      <c r="F12" s="81">
        <f>SUM(D12:E12)</f>
        <v>2466.335547792346</v>
      </c>
      <c r="G12" s="61">
        <f>IF(ISERROR(F12/C12),"n/a",F12/C12)</f>
        <v>0.12231129184151524</v>
      </c>
      <c r="I12" s="23">
        <v>1.2615773174013249</v>
      </c>
      <c r="K12" s="32">
        <f>D12*I12</f>
        <v>1079.5353973729225</v>
      </c>
      <c r="L12" s="32">
        <f>E12*I12</f>
        <v>2031.9375868224729</v>
      </c>
      <c r="M12" s="32">
        <f>SUM(K12:L12)</f>
        <v>3111.4729841953954</v>
      </c>
      <c r="N12" s="61">
        <f>IF(ISERROR(M12/C12),"n/a",M12/C12)</f>
        <v>0.15430515144930937</v>
      </c>
    </row>
    <row r="13" spans="1:15">
      <c r="A13" s="204"/>
      <c r="B13" s="238" t="s">
        <v>274</v>
      </c>
      <c r="C13" s="10">
        <f>SUM('Table 3.26-REC Detail NonACS'!E16,'Table 3.26-REC Detail NonACS'!E31,'Table 3.26-REC Detail NonACS'!E37)</f>
        <v>65231.613995653955</v>
      </c>
      <c r="D13" s="131">
        <f>SUM('Table 3.26-REC Detail NonACS'!F16,'Table 3.26-REC Detail NonACS'!F31,'Table 3.26-REC Detail NonACS'!F37)</f>
        <v>2768.1876710109868</v>
      </c>
      <c r="E13" s="131">
        <f>SUM('Table 3.27-REC Detail ACS'!F16,'Table 3.27-REC Detail ACS'!F31,'Table 3.27-REC Detail ACS'!F37)</f>
        <v>5210.3753057045133</v>
      </c>
      <c r="F13" s="239">
        <f>SUM(D13:E13)</f>
        <v>7978.5629767155006</v>
      </c>
      <c r="G13" s="129">
        <f>IF(ISERROR(F13/C13),"n/a",F13/C13)</f>
        <v>0.12231129184151524</v>
      </c>
      <c r="H13" s="204"/>
      <c r="I13" s="338">
        <v>1.2615773174013249</v>
      </c>
      <c r="J13" s="204"/>
      <c r="K13" s="131">
        <f>D13*I13</f>
        <v>3492.2827760574623</v>
      </c>
      <c r="L13" s="131">
        <f>E13*I13</f>
        <v>6573.2913008248079</v>
      </c>
      <c r="M13" s="131">
        <f>SUM(K13:L13)</f>
        <v>10065.574076882271</v>
      </c>
      <c r="N13" s="129">
        <f>IF(ISERROR(M13/C13),"n/a",M13/C13)</f>
        <v>0.15430515144930934</v>
      </c>
    </row>
    <row r="14" spans="1:15">
      <c r="B14" s="13" t="s">
        <v>423</v>
      </c>
      <c r="C14" s="6">
        <f>SUM(C4:C13)</f>
        <v>283335.92542284657</v>
      </c>
      <c r="D14" s="32">
        <f>SUM(D4:D13)</f>
        <v>19680.071808013068</v>
      </c>
      <c r="E14" s="32">
        <f>SUM(E4:E13)</f>
        <v>8220.4267134205347</v>
      </c>
      <c r="F14" s="32">
        <f>SUM(F4:F13)</f>
        <v>27900.498521433608</v>
      </c>
      <c r="G14" s="61">
        <f>IF(ISERROR(F14/C14),"n/a",F14/C14)</f>
        <v>9.8471446851631311E-2</v>
      </c>
      <c r="K14" s="32">
        <f>SUM(K4:K13)</f>
        <v>24827.932197818573</v>
      </c>
      <c r="L14" s="32">
        <f>SUM(L4:L13)</f>
        <v>10370.703881011268</v>
      </c>
      <c r="M14" s="32">
        <f>SUM(M4:M13)</f>
        <v>35198.636078829841</v>
      </c>
      <c r="N14" s="61">
        <f>IF(ISERROR(M14/C14),"n/a",M14/C14)</f>
        <v>0.12422934375970816</v>
      </c>
    </row>
    <row r="15" spans="1:15">
      <c r="B15" s="13"/>
      <c r="C15" s="6"/>
      <c r="D15" s="32"/>
      <c r="E15" s="6"/>
      <c r="G15" s="61"/>
      <c r="M15" s="32"/>
      <c r="N15" s="61"/>
    </row>
    <row r="16" spans="1:15">
      <c r="B16" s="13" t="s">
        <v>475</v>
      </c>
      <c r="C16" s="6">
        <f>'Table 3.26-REC Detail NonACS'!E45</f>
        <v>35945.49251795734</v>
      </c>
      <c r="D16" s="32">
        <f>'Table 3.26-REC Detail NonACS'!F45</f>
        <v>15445.638699633852</v>
      </c>
      <c r="E16" s="32">
        <f>'Table 3.27-REC Detail ACS'!F45</f>
        <v>0</v>
      </c>
      <c r="F16" s="81">
        <f>SUM(D16:E16)</f>
        <v>15445.638699633852</v>
      </c>
      <c r="G16" s="61">
        <f>IF(ISERROR(F16/C16),"n/a",F16/C16)</f>
        <v>0.42969612092302401</v>
      </c>
      <c r="I16" s="23">
        <v>1.2615773174013249</v>
      </c>
      <c r="K16" s="32">
        <f>D16*I16</f>
        <v>19485.867436234163</v>
      </c>
      <c r="L16" s="32">
        <f>E16*I16</f>
        <v>0</v>
      </c>
      <c r="M16" s="32">
        <f>SUM(K16:L16)</f>
        <v>19485.867436234163</v>
      </c>
      <c r="N16" s="61">
        <f>IF(ISERROR(M16/C16),"n/a",M16/C16)</f>
        <v>0.54209487953182389</v>
      </c>
    </row>
    <row r="17" spans="1:14">
      <c r="B17" s="13"/>
      <c r="C17" s="6"/>
      <c r="D17" s="32"/>
      <c r="E17" s="6"/>
      <c r="G17" s="61"/>
      <c r="M17" s="32"/>
      <c r="N17" s="61"/>
    </row>
    <row r="18" spans="1:14">
      <c r="B18" s="13" t="s">
        <v>424</v>
      </c>
      <c r="C18" s="6">
        <f>SUM(C14,C16)</f>
        <v>319281.41794080392</v>
      </c>
      <c r="D18" s="32">
        <f>SUM(D14,D16)</f>
        <v>35125.710507646916</v>
      </c>
      <c r="E18" s="32">
        <f>SUM(E14,E16)</f>
        <v>8220.4267134205347</v>
      </c>
      <c r="F18" s="81">
        <f>SUM(D18:E18)</f>
        <v>43346.137221067453</v>
      </c>
      <c r="G18" s="61">
        <f>IF(ISERROR(F18/C18),"n/a",F18/C18)</f>
        <v>0.13576154071422974</v>
      </c>
      <c r="K18" s="32">
        <f>SUM(K14,K16)</f>
        <v>44313.799634052732</v>
      </c>
      <c r="L18" s="32">
        <f>SUM(L14,L16)</f>
        <v>10370.703881011268</v>
      </c>
      <c r="M18" s="32">
        <f>SUM(K18:L18)</f>
        <v>54684.503515064003</v>
      </c>
      <c r="N18" s="61">
        <f>IF(ISERROR(M18/C18),"n/a",M18/C18)</f>
        <v>0.17127368034052873</v>
      </c>
    </row>
    <row r="19" spans="1:14" hidden="1">
      <c r="B19" s="13"/>
      <c r="C19" s="6"/>
      <c r="D19" s="6"/>
      <c r="E19" s="6"/>
      <c r="F19" s="32"/>
      <c r="G19" s="61"/>
      <c r="K19" s="167"/>
      <c r="L19" s="167"/>
      <c r="M19" s="32"/>
      <c r="N19" s="61"/>
    </row>
    <row r="20" spans="1:14" hidden="1">
      <c r="B20" s="13" t="s">
        <v>186</v>
      </c>
      <c r="C20" s="105">
        <f>C18-'Table 3.26-REC Detail NonACS'!E47</f>
        <v>0</v>
      </c>
      <c r="D20" s="105">
        <f>D18-'Table 3.26-REC Detail NonACS'!F47</f>
        <v>0</v>
      </c>
      <c r="E20" s="105">
        <f>E18-'Table 3.27-REC Detail ACS'!F47</f>
        <v>0</v>
      </c>
      <c r="F20" s="167"/>
      <c r="G20" s="167"/>
      <c r="J20" s="13" t="s">
        <v>186</v>
      </c>
      <c r="K20" s="105">
        <f>K18-'Table 3.26-REC Detail NonACS'!K47</f>
        <v>0</v>
      </c>
      <c r="L20" s="105">
        <f>L18-'Table 3.27-REC Detail ACS'!K47</f>
        <v>0</v>
      </c>
      <c r="M20" s="167"/>
      <c r="N20" s="167"/>
    </row>
    <row r="21" spans="1:14">
      <c r="A21" s="204"/>
      <c r="B21" s="213"/>
      <c r="C21" s="213"/>
      <c r="D21" s="28"/>
      <c r="E21" s="28"/>
    </row>
    <row r="22" spans="1:14">
      <c r="A22" s="4" t="s">
        <v>230</v>
      </c>
      <c r="B22" s="28"/>
      <c r="C22" s="28"/>
      <c r="D22" s="28"/>
      <c r="E22" s="28"/>
    </row>
    <row r="23" spans="1:14">
      <c r="A23" s="17" t="s">
        <v>651</v>
      </c>
      <c r="B23" s="28"/>
      <c r="C23" s="28"/>
      <c r="D23" s="28"/>
      <c r="E23" s="28"/>
    </row>
    <row r="24" spans="1:14">
      <c r="A24" s="17" t="s">
        <v>32</v>
      </c>
      <c r="B24" s="28"/>
      <c r="C24" s="28"/>
      <c r="D24" s="28"/>
      <c r="E24" s="28"/>
    </row>
    <row r="25" spans="1:14">
      <c r="A25" s="17" t="s">
        <v>801</v>
      </c>
    </row>
    <row r="26" spans="1:14">
      <c r="A26" s="11" t="s">
        <v>5</v>
      </c>
    </row>
  </sheetData>
  <phoneticPr fontId="5" type="noConversion"/>
  <printOptions horizontalCentered="1"/>
  <pageMargins left="0.75" right="0.75" top="1" bottom="1" header="0.5" footer="0.5"/>
  <pageSetup scale="81" orientation="landscape" r:id="rId1"/>
  <headerFooter alignWithMargins="0">
    <oddFooter>&amp;L&amp;F</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pageSetUpPr fitToPage="1"/>
  </sheetPr>
  <dimension ref="A1:M67"/>
  <sheetViews>
    <sheetView zoomScale="70" workbookViewId="0"/>
  </sheetViews>
  <sheetFormatPr baseColWidth="10" defaultColWidth="8.83203125" defaultRowHeight="13"/>
  <cols>
    <col min="1" max="1" width="27.1640625" customWidth="1"/>
    <col min="2" max="2" width="9.5" customWidth="1"/>
    <col min="3" max="3" width="25.5" customWidth="1"/>
    <col min="4" max="4" width="18.5" customWidth="1"/>
    <col min="5" max="7" width="11.5" customWidth="1"/>
    <col min="8" max="8" width="3.5" customWidth="1"/>
    <col min="9" max="9" width="11.5" customWidth="1"/>
    <col min="10" max="10" width="3.5" customWidth="1"/>
    <col min="11" max="12" width="11.5" customWidth="1"/>
  </cols>
  <sheetData>
    <row r="1" spans="1:13" ht="16">
      <c r="A1" s="117" t="s">
        <v>666</v>
      </c>
      <c r="B1" s="117"/>
      <c r="C1" s="117"/>
      <c r="D1" s="117"/>
    </row>
    <row r="2" spans="1:13" ht="16">
      <c r="A2" s="117" t="s">
        <v>780</v>
      </c>
      <c r="B2" s="335"/>
      <c r="C2" s="335"/>
      <c r="D2" s="335"/>
    </row>
    <row r="3" spans="1:13" ht="42">
      <c r="A3" s="336" t="s">
        <v>391</v>
      </c>
      <c r="B3" s="337" t="s">
        <v>394</v>
      </c>
      <c r="C3" s="336" t="s">
        <v>392</v>
      </c>
      <c r="D3" s="336" t="s">
        <v>343</v>
      </c>
      <c r="E3" s="125" t="s">
        <v>426</v>
      </c>
      <c r="F3" s="138" t="s">
        <v>398</v>
      </c>
      <c r="G3" s="8" t="s">
        <v>99</v>
      </c>
      <c r="H3" s="8"/>
      <c r="I3" s="142" t="s">
        <v>399</v>
      </c>
      <c r="J3" s="65"/>
      <c r="K3" s="119" t="s">
        <v>410</v>
      </c>
      <c r="L3" s="31" t="s">
        <v>128</v>
      </c>
      <c r="M3" s="4"/>
    </row>
    <row r="4" spans="1:13">
      <c r="A4" s="17" t="s">
        <v>405</v>
      </c>
      <c r="B4" t="s">
        <v>402</v>
      </c>
      <c r="C4" t="s">
        <v>393</v>
      </c>
      <c r="D4" t="s">
        <v>273</v>
      </c>
      <c r="E4" s="6">
        <f>'Table 3.28-REC Volume'!H4</f>
        <v>17651.07706180499</v>
      </c>
      <c r="F4" s="32">
        <v>1498.0924404479338</v>
      </c>
      <c r="G4" s="61">
        <f>IF(ISERROR(F4/E4),"n/a",F4/E4)</f>
        <v>8.4872579458034475E-2</v>
      </c>
      <c r="I4" s="23">
        <v>1.2615773174013249</v>
      </c>
      <c r="K4" s="32">
        <f>F4*I4</f>
        <v>1889.9594422395085</v>
      </c>
      <c r="L4" s="61">
        <f>IF(ISERROR(K4/E4),"n/a",K4/E4)</f>
        <v>0.10707332111359794</v>
      </c>
    </row>
    <row r="5" spans="1:13">
      <c r="D5" t="s">
        <v>368</v>
      </c>
      <c r="E5" s="6">
        <f>'Table 3.28-REC Volume'!H5</f>
        <v>11944.813145217144</v>
      </c>
      <c r="F5" s="32">
        <v>1013.7871027788166</v>
      </c>
      <c r="G5" s="61">
        <f>IF(ISERROR(F5/E5),"n/a",F5/E5)</f>
        <v>8.4872579458034461E-2</v>
      </c>
      <c r="I5" s="23">
        <v>1.2615773174013249</v>
      </c>
      <c r="K5" s="32">
        <f>F5*I5</f>
        <v>1278.9708135397607</v>
      </c>
      <c r="L5" s="61">
        <f>IF(ISERROR(K5/E5),"n/a",K5/E5)</f>
        <v>0.10707332111359791</v>
      </c>
    </row>
    <row r="6" spans="1:13">
      <c r="D6" t="s">
        <v>274</v>
      </c>
      <c r="E6" s="6">
        <f>'Table 3.28-REC Volume'!H6</f>
        <v>502.66395769949764</v>
      </c>
      <c r="F6" s="32">
        <v>42.662386690540693</v>
      </c>
      <c r="G6" s="61">
        <f>IF(ISERROR(F6/E6),"n/a",F6/E6)</f>
        <v>8.4872579458034475E-2</v>
      </c>
      <c r="I6" s="23">
        <v>1.2615773174013249</v>
      </c>
      <c r="K6" s="32">
        <f>F6*I6</f>
        <v>53.821899354990315</v>
      </c>
      <c r="L6" s="61">
        <f>IF(ISERROR(K6/E6),"n/a",K6/E6)</f>
        <v>0.10707332111359792</v>
      </c>
    </row>
    <row r="7" spans="1:13">
      <c r="E7" s="6"/>
    </row>
    <row r="8" spans="1:13">
      <c r="B8" t="s">
        <v>469</v>
      </c>
      <c r="C8" t="s">
        <v>393</v>
      </c>
      <c r="D8" t="s">
        <v>273</v>
      </c>
      <c r="E8" s="6">
        <f>'Table 3.28-REC Volume'!H8</f>
        <v>5231.6496929738096</v>
      </c>
      <c r="F8" s="32">
        <v>222.01180213176059</v>
      </c>
      <c r="G8" s="61">
        <f>IF(ISERROR(F8/E8),"n/a",F8/E8)</f>
        <v>4.2436289729017224E-2</v>
      </c>
      <c r="I8" s="23">
        <v>1.2615773174013249</v>
      </c>
      <c r="K8" s="32">
        <f>F8*I8</f>
        <v>280.08505376482026</v>
      </c>
      <c r="L8" s="61">
        <f>IF(ISERROR(K8/E8),"n/a",K8/E8)</f>
        <v>5.3536660556798947E-2</v>
      </c>
    </row>
    <row r="9" spans="1:13">
      <c r="D9" t="s">
        <v>368</v>
      </c>
      <c r="E9" s="6">
        <f>'Table 3.28-REC Volume'!H9</f>
        <v>289.06988019089027</v>
      </c>
      <c r="F9" s="32">
        <v>12.267053187712921</v>
      </c>
      <c r="G9" s="61">
        <f>IF(ISERROR(F9/E9),"n/a",F9/E9)</f>
        <v>4.2436289729017244E-2</v>
      </c>
      <c r="I9" s="23">
        <v>1.2615773174013249</v>
      </c>
      <c r="K9" s="32">
        <f>F9*I9</f>
        <v>15.475836052974239</v>
      </c>
      <c r="L9" s="61">
        <f>IF(ISERROR(K9/E9),"n/a",K9/E9)</f>
        <v>5.3536660556798968E-2</v>
      </c>
    </row>
    <row r="10" spans="1:13">
      <c r="D10" t="s">
        <v>274</v>
      </c>
      <c r="E10" s="6">
        <f>'Table 3.28-REC Volume'!H10</f>
        <v>6953.0216499867183</v>
      </c>
      <c r="F10" s="32">
        <v>295.06044123096592</v>
      </c>
      <c r="G10" s="61">
        <f>IF(ISERROR(F10/E10),"n/a",F10/E10)</f>
        <v>4.2436289729017244E-2</v>
      </c>
      <c r="I10" s="23">
        <v>1.2615773174013249</v>
      </c>
      <c r="K10" s="32">
        <f>F10*I10</f>
        <v>372.24155991941331</v>
      </c>
      <c r="L10" s="61">
        <f>IF(ISERROR(K10/E10),"n/a",K10/E10)</f>
        <v>5.3536660556798982E-2</v>
      </c>
    </row>
    <row r="11" spans="1:13">
      <c r="E11" s="6"/>
    </row>
    <row r="12" spans="1:13">
      <c r="B12" t="s">
        <v>402</v>
      </c>
      <c r="C12" s="11" t="s">
        <v>43</v>
      </c>
      <c r="D12" t="s">
        <v>368</v>
      </c>
      <c r="E12" s="6">
        <f>'Table 3.28-REC Volume'!H12</f>
        <v>1221.4593460884103</v>
      </c>
      <c r="F12" s="32">
        <v>103.66840540564743</v>
      </c>
      <c r="G12" s="61">
        <f>IF(ISERROR(F12/E12),"n/a",F12/E12)</f>
        <v>8.4872579458034475E-2</v>
      </c>
      <c r="I12" s="23">
        <v>1.2615773174013249</v>
      </c>
      <c r="K12" s="32">
        <f>F12*I12</f>
        <v>130.7857087909297</v>
      </c>
      <c r="L12" s="61">
        <f>IF(ISERROR(K12/E12),"n/a",K12/E12)</f>
        <v>0.10707332111359794</v>
      </c>
    </row>
    <row r="13" spans="1:13">
      <c r="C13" s="11" t="s">
        <v>648</v>
      </c>
      <c r="D13" t="s">
        <v>274</v>
      </c>
      <c r="E13" s="6">
        <f>'Table 3.28-REC Volume'!H13</f>
        <v>20057.356481534796</v>
      </c>
      <c r="F13" s="32">
        <v>1702.3195816971847</v>
      </c>
      <c r="G13" s="61">
        <f>IF(ISERROR(F13/E13),"n/a",F13/E13)</f>
        <v>8.4872579458034475E-2</v>
      </c>
      <c r="I13" s="23">
        <v>1.2615773174013249</v>
      </c>
      <c r="K13" s="32">
        <f>F13*I13</f>
        <v>2147.6077712372798</v>
      </c>
      <c r="L13" s="61">
        <f>IF(ISERROR(K13/E13),"n/a",K13/E13)</f>
        <v>0.10707332111359792</v>
      </c>
    </row>
    <row r="14" spans="1:13">
      <c r="E14" s="6"/>
    </row>
    <row r="15" spans="1:13">
      <c r="B15" t="s">
        <v>395</v>
      </c>
      <c r="C15" s="11" t="s">
        <v>43</v>
      </c>
      <c r="D15" t="s">
        <v>368</v>
      </c>
      <c r="E15" s="6">
        <f>'Table 3.28-REC Volume'!H15</f>
        <v>277.47861918670725</v>
      </c>
      <c r="F15" s="32">
        <v>11.775163077414749</v>
      </c>
      <c r="G15" s="61">
        <f>IF(ISERROR(F15/E15),"n/a",F15/E15)</f>
        <v>4.2436289729017238E-2</v>
      </c>
      <c r="I15" s="23">
        <v>1.2615773174013249</v>
      </c>
      <c r="K15" s="32">
        <f>F15*I15</f>
        <v>14.85527864716803</v>
      </c>
      <c r="L15" s="61">
        <f>IF(ISERROR(K15/E15),"n/a",K15/E15)</f>
        <v>5.3536660556798961E-2</v>
      </c>
    </row>
    <row r="16" spans="1:13">
      <c r="B16" s="204"/>
      <c r="C16" s="238" t="s">
        <v>43</v>
      </c>
      <c r="D16" s="204" t="s">
        <v>274</v>
      </c>
      <c r="E16" s="10">
        <f>'Table 3.28-REC Volume'!H16</f>
        <v>2107.0872803566358</v>
      </c>
      <c r="F16" s="131">
        <v>89.416966313541167</v>
      </c>
      <c r="G16" s="129">
        <f>IF(ISERROR(F16/E16),"n/a",F16/E16)</f>
        <v>4.2436289729017238E-2</v>
      </c>
      <c r="H16" s="204"/>
      <c r="I16" s="338">
        <v>1.2615773174013249</v>
      </c>
      <c r="J16" s="204"/>
      <c r="K16" s="131">
        <f>F16*I16</f>
        <v>112.8064164920019</v>
      </c>
      <c r="L16" s="129">
        <f>IF(ISERROR(K16/E16),"n/a",K16/E16)</f>
        <v>5.3536660556798961E-2</v>
      </c>
    </row>
    <row r="17" spans="1:12">
      <c r="D17" s="339" t="s">
        <v>401</v>
      </c>
      <c r="E17" s="6">
        <f>SUM(E4:E16)</f>
        <v>66235.677115039594</v>
      </c>
      <c r="F17" s="32">
        <f>SUM(F4:F16)</f>
        <v>4991.0613429615178</v>
      </c>
      <c r="G17" s="61">
        <f>IF(ISERROR(F17/E17),"n/a",F17/E17)</f>
        <v>7.5353065905749431E-2</v>
      </c>
      <c r="K17" s="32">
        <f>SUM(K4:K16)</f>
        <v>6296.6097800388461</v>
      </c>
      <c r="L17" s="61">
        <f>IF(ISERROR(K17/E17),"n/a",K17/E17)</f>
        <v>9.5063718743340603E-2</v>
      </c>
    </row>
    <row r="18" spans="1:12" ht="5" customHeight="1"/>
    <row r="19" spans="1:12">
      <c r="A19" s="17" t="s">
        <v>406</v>
      </c>
      <c r="B19" t="s">
        <v>402</v>
      </c>
      <c r="C19" t="s">
        <v>393</v>
      </c>
      <c r="D19" t="s">
        <v>273</v>
      </c>
      <c r="E19" s="6">
        <f>'Table 3.28-REC Volume'!H19</f>
        <v>7140.90773002674</v>
      </c>
      <c r="F19" s="32">
        <v>606.06725871918695</v>
      </c>
      <c r="G19" s="61">
        <f>IF(ISERROR(F19/E19),"n/a",F19/E19)</f>
        <v>8.4872579458034461E-2</v>
      </c>
      <c r="I19" s="23">
        <v>1.2615773174013249</v>
      </c>
      <c r="K19" s="32">
        <f>F19*I19</f>
        <v>764.60070641972663</v>
      </c>
      <c r="L19" s="61">
        <f>IF(ISERROR(K19/E19),"n/a",K19/E19)</f>
        <v>0.10707332111359791</v>
      </c>
    </row>
    <row r="20" spans="1:12">
      <c r="D20" t="s">
        <v>368</v>
      </c>
      <c r="E20" s="6">
        <f>'Table 3.28-REC Volume'!H20</f>
        <v>4832.3854812791642</v>
      </c>
      <c r="F20" s="32">
        <v>410.13702073171805</v>
      </c>
      <c r="G20" s="61">
        <f>IF(ISERROR(F20/E20),"n/a",F20/E20)</f>
        <v>8.4872579458034475E-2</v>
      </c>
      <c r="I20" s="23">
        <v>1.2615773174013249</v>
      </c>
      <c r="K20" s="32">
        <f>F20*I20</f>
        <v>517.41956238169246</v>
      </c>
      <c r="L20" s="61">
        <f>IF(ISERROR(K20/E20),"n/a",K20/E20)</f>
        <v>0.10707332111359794</v>
      </c>
    </row>
    <row r="21" spans="1:12">
      <c r="D21" t="s">
        <v>274</v>
      </c>
      <c r="E21" s="6">
        <f>'Table 3.28-REC Volume'!H21</f>
        <v>203.35738881959873</v>
      </c>
      <c r="F21" s="32">
        <v>17.259466140969803</v>
      </c>
      <c r="G21" s="61">
        <f>IF(ISERROR(F21/E21),"n/a",F21/E21)</f>
        <v>8.4872579458034461E-2</v>
      </c>
      <c r="I21" s="23">
        <v>1.2615773174013249</v>
      </c>
      <c r="K21" s="32">
        <f>F21*I21</f>
        <v>21.774150993903682</v>
      </c>
      <c r="L21" s="61">
        <f>IF(ISERROR(K21/E21),"n/a",K21/E21)</f>
        <v>0.10707332111359792</v>
      </c>
    </row>
    <row r="22" spans="1:12">
      <c r="E22" s="6"/>
    </row>
    <row r="23" spans="1:12">
      <c r="B23" t="s">
        <v>469</v>
      </c>
      <c r="C23" t="s">
        <v>393</v>
      </c>
      <c r="D23" t="s">
        <v>273</v>
      </c>
      <c r="E23" s="6">
        <f>'Table 3.28-REC Volume'!H23</f>
        <v>2116.5126412704262</v>
      </c>
      <c r="F23" s="32">
        <v>89.816943660079318</v>
      </c>
      <c r="G23" s="61">
        <f>IF(ISERROR(F23/E23),"n/a",F23/E23)</f>
        <v>4.2436289729017231E-2</v>
      </c>
      <c r="I23" s="23">
        <v>1.2615773174013249</v>
      </c>
      <c r="K23" s="32">
        <f>F23*I23</f>
        <v>113.31101883986881</v>
      </c>
      <c r="L23" s="61">
        <f>IF(ISERROR(K23/E23),"n/a",K23/E23)</f>
        <v>5.3536660556798954E-2</v>
      </c>
    </row>
    <row r="24" spans="1:12">
      <c r="D24" t="s">
        <v>368</v>
      </c>
      <c r="E24" s="6">
        <f>'Table 3.28-REC Volume'!H24</f>
        <v>116.94591410740497</v>
      </c>
      <c r="F24" s="32">
        <v>4.9627506936866013</v>
      </c>
      <c r="G24" s="61">
        <f>IF(ISERROR(F24/E24),"n/a",F24/E24)</f>
        <v>4.2436289729017231E-2</v>
      </c>
      <c r="I24" s="23">
        <v>1.2615773174013249</v>
      </c>
      <c r="K24" s="32">
        <f>F24*I24</f>
        <v>6.2608937070727073</v>
      </c>
      <c r="L24" s="61">
        <f>IF(ISERROR(K24/E24),"n/a",K24/E24)</f>
        <v>5.3536660556798961E-2</v>
      </c>
    </row>
    <row r="25" spans="1:12">
      <c r="D25" t="s">
        <v>274</v>
      </c>
      <c r="E25" s="6">
        <f>'Table 3.28-REC Volume'!H25</f>
        <v>2812.9097093385071</v>
      </c>
      <c r="F25" s="32">
        <v>119.36945140705454</v>
      </c>
      <c r="G25" s="61">
        <f>IF(ISERROR(F25/E25),"n/a",F25/E25)</f>
        <v>4.2436289729017231E-2</v>
      </c>
      <c r="I25" s="23">
        <v>1.2615773174013249</v>
      </c>
      <c r="K25" s="32">
        <f>F25*I25</f>
        <v>150.59379228577967</v>
      </c>
      <c r="L25" s="61">
        <f>IF(ISERROR(K25/E25),"n/a",K25/E25)</f>
        <v>5.3536660556798954E-2</v>
      </c>
    </row>
    <row r="26" spans="1:12">
      <c r="E26" s="6"/>
    </row>
    <row r="27" spans="1:12">
      <c r="B27" t="s">
        <v>402</v>
      </c>
      <c r="C27" s="11" t="s">
        <v>43</v>
      </c>
      <c r="D27" s="11" t="s">
        <v>368</v>
      </c>
      <c r="E27" s="6">
        <f>'Table 3.28-REC Volume'!H27</f>
        <v>494.15276222833489</v>
      </c>
      <c r="F27" s="32">
        <v>41.940019576631563</v>
      </c>
      <c r="G27" s="61">
        <f>IF(ISERROR(F27/E27),"n/a",F27/E27)</f>
        <v>8.4872579458034461E-2</v>
      </c>
      <c r="I27" s="23">
        <v>1.2615773174013249</v>
      </c>
      <c r="K27" s="32">
        <f>F27*I27</f>
        <v>52.910577389245901</v>
      </c>
      <c r="L27" s="61">
        <f>IF(ISERROR(K27/E27),"n/a",K27/E27)</f>
        <v>0.10707332111359792</v>
      </c>
    </row>
    <row r="28" spans="1:12" ht="14">
      <c r="C28" s="11" t="s">
        <v>648</v>
      </c>
      <c r="D28" t="s">
        <v>274</v>
      </c>
      <c r="E28" s="6">
        <f>'Table 3.28-REC Volume'!H28</f>
        <v>0</v>
      </c>
      <c r="F28" s="32">
        <v>0</v>
      </c>
      <c r="G28" s="61" t="str">
        <f>IF(ISERROR(F28/E28),"n/a",F28/E28)</f>
        <v>n/a</v>
      </c>
      <c r="I28" s="23">
        <v>1.2615773174013249</v>
      </c>
      <c r="K28" s="32">
        <f>F28*I28</f>
        <v>0</v>
      </c>
      <c r="L28" s="61" t="str">
        <f>IF(ISERROR(K28/E28),"n/a",K28/E28)</f>
        <v>n/a</v>
      </c>
    </row>
    <row r="29" spans="1:12">
      <c r="E29" s="6"/>
    </row>
    <row r="30" spans="1:12">
      <c r="B30" t="s">
        <v>395</v>
      </c>
      <c r="C30" s="11" t="s">
        <v>43</v>
      </c>
      <c r="D30" t="s">
        <v>368</v>
      </c>
      <c r="E30" s="6">
        <f>'Table 3.28-REC Volume'!H30</f>
        <v>112.25656143981975</v>
      </c>
      <c r="F30" s="32">
        <v>4.763751965243415</v>
      </c>
      <c r="G30" s="61">
        <f>IF(ISERROR(F30/E30),"n/a",F30/E30)</f>
        <v>4.2436289729017238E-2</v>
      </c>
      <c r="I30" s="23">
        <v>1.2615773174013249</v>
      </c>
      <c r="K30" s="32">
        <f>F30*I30</f>
        <v>6.0098414250770773</v>
      </c>
      <c r="L30" s="61">
        <f>IF(ISERROR(K30/E30),"n/a",K30/E30)</f>
        <v>5.3536660556798961E-2</v>
      </c>
    </row>
    <row r="31" spans="1:12">
      <c r="B31" s="204"/>
      <c r="C31" s="238" t="s">
        <v>43</v>
      </c>
      <c r="D31" s="204" t="s">
        <v>274</v>
      </c>
      <c r="E31" s="10">
        <f>'Table 3.28-REC Volume'!H31</f>
        <v>852.44179692007276</v>
      </c>
      <c r="F31" s="131">
        <v>36.174467071224278</v>
      </c>
      <c r="G31" s="129">
        <f>IF(ISERROR(F31/E31),"n/a",F31/E31)</f>
        <v>4.2436289729017231E-2</v>
      </c>
      <c r="H31" s="204"/>
      <c r="I31" s="338">
        <v>1.2615773174013249</v>
      </c>
      <c r="J31" s="204"/>
      <c r="K31" s="131">
        <f>F31*I31</f>
        <v>45.636887126137687</v>
      </c>
      <c r="L31" s="129">
        <f>IF(ISERROR(K31/E31),"n/a",K31/E31)</f>
        <v>5.3536660556798961E-2</v>
      </c>
    </row>
    <row r="32" spans="1:12">
      <c r="D32" s="339" t="s">
        <v>400</v>
      </c>
      <c r="E32" s="6">
        <f>SUM(E19:E31)</f>
        <v>18681.869985430068</v>
      </c>
      <c r="F32" s="32">
        <f>SUM(F19:F31)</f>
        <v>1330.4911299657945</v>
      </c>
      <c r="G32" s="61">
        <f>IF(ISERROR(F32/E32),"n/a",F32/E32)</f>
        <v>7.1218305822888198E-2</v>
      </c>
      <c r="K32" s="32">
        <f>SUM(K19:K31)</f>
        <v>1678.517430568505</v>
      </c>
      <c r="L32" s="61">
        <f>IF(ISERROR(K32/E32),"n/a",K32/E32)</f>
        <v>8.9847399209906476E-2</v>
      </c>
    </row>
    <row r="33" spans="1:12" ht="5" customHeight="1"/>
    <row r="34" spans="1:12">
      <c r="A34" s="17" t="s">
        <v>407</v>
      </c>
      <c r="B34" t="s">
        <v>402</v>
      </c>
      <c r="C34" s="11" t="s">
        <v>404</v>
      </c>
      <c r="D34" s="11" t="s">
        <v>368</v>
      </c>
      <c r="E34" s="6">
        <f>'Table 3.28-REC Volume'!H34</f>
        <v>116371.61440291601</v>
      </c>
      <c r="F34" s="32">
        <v>9876.7590900712366</v>
      </c>
      <c r="G34" s="61">
        <f>IF(ISERROR(F34/E34),"n/a",F34/E34)</f>
        <v>8.4872579458034461E-2</v>
      </c>
      <c r="I34" s="23">
        <v>1.2615773174013249</v>
      </c>
      <c r="K34" s="32">
        <f>F34*I34</f>
        <v>12460.295237471222</v>
      </c>
      <c r="L34" s="61">
        <f>IF(ISERROR(K34/E34),"n/a",K34/E34)</f>
        <v>0.10707332111359792</v>
      </c>
    </row>
    <row r="35" spans="1:12">
      <c r="E35" s="6"/>
    </row>
    <row r="36" spans="1:12">
      <c r="B36" t="s">
        <v>395</v>
      </c>
      <c r="C36" t="s">
        <v>404</v>
      </c>
      <c r="D36" t="s">
        <v>368</v>
      </c>
      <c r="E36" s="6">
        <f>'Table 3.28-REC Volume'!H36</f>
        <v>19774.679001083681</v>
      </c>
      <c r="F36" s="32">
        <v>839.16400738830021</v>
      </c>
      <c r="G36" s="61">
        <f>IF(ISERROR(F36/E36),"n/a",F36/E36)</f>
        <v>4.2436289729017238E-2</v>
      </c>
      <c r="I36" s="23">
        <v>1.2615773174013249</v>
      </c>
      <c r="K36" s="32">
        <f>F36*I36</f>
        <v>1058.6702773006773</v>
      </c>
      <c r="L36" s="61">
        <f>IF(ISERROR(K36/E36),"n/a",K36/E36)</f>
        <v>5.3536660556798954E-2</v>
      </c>
    </row>
    <row r="37" spans="1:12">
      <c r="B37" s="204"/>
      <c r="C37" s="204"/>
      <c r="D37" s="204" t="s">
        <v>274</v>
      </c>
      <c r="E37" s="10">
        <f>'Table 3.28-REC Volume'!H37</f>
        <v>62272.084918377244</v>
      </c>
      <c r="F37" s="131">
        <v>2642.5962376262214</v>
      </c>
      <c r="G37" s="129">
        <f>IF(ISERROR(F37/E37),"n/a",F37/E37)</f>
        <v>4.2436289729017238E-2</v>
      </c>
      <c r="H37" s="204"/>
      <c r="I37" s="338">
        <v>1.2615773174013249</v>
      </c>
      <c r="J37" s="204"/>
      <c r="K37" s="131">
        <f>F37*I37</f>
        <v>3333.8394724393224</v>
      </c>
      <c r="L37" s="129">
        <f>IF(ISERROR(K37/E37),"n/a",K37/E37)</f>
        <v>5.3536660556798961E-2</v>
      </c>
    </row>
    <row r="38" spans="1:12">
      <c r="D38" s="339" t="s">
        <v>408</v>
      </c>
      <c r="E38" s="6">
        <f>SUM(E34:E37)</f>
        <v>198418.37832237693</v>
      </c>
      <c r="F38" s="32">
        <f>SUM(F34:F37)</f>
        <v>13358.519335085759</v>
      </c>
      <c r="G38" s="61">
        <f>IF(ISERROR(F38/E38),"n/a",F38/E38)</f>
        <v>6.7325010152949283E-2</v>
      </c>
      <c r="K38" s="32">
        <f>SUM(K34:K37)</f>
        <v>16852.804987211221</v>
      </c>
      <c r="L38" s="61">
        <f>IF(ISERROR(K38/E38),"n/a",K38/E38)</f>
        <v>8.4935705702774714E-2</v>
      </c>
    </row>
    <row r="39" spans="1:12" ht="5" customHeight="1">
      <c r="D39" s="339"/>
      <c r="E39" s="6"/>
      <c r="F39" s="6"/>
      <c r="G39" s="61"/>
      <c r="K39" s="32"/>
      <c r="L39" s="61"/>
    </row>
    <row r="40" spans="1:12">
      <c r="D40" s="339" t="s">
        <v>423</v>
      </c>
      <c r="E40" s="6">
        <f>SUM(E17,E32,E38)</f>
        <v>283335.92542284657</v>
      </c>
      <c r="F40" s="32">
        <f>SUM(F17,F32,F38)</f>
        <v>19680.071808013072</v>
      </c>
      <c r="G40" s="61">
        <f>IF(ISERROR(F40/E40),"n/a",F40/E40)</f>
        <v>6.9458441525347719E-2</v>
      </c>
      <c r="K40" s="32">
        <f>SUM(K17,K32,K38)</f>
        <v>24827.932197818573</v>
      </c>
      <c r="L40" s="61">
        <f>IF(ISERROR(K40/E40),"n/a",K40/E40)</f>
        <v>8.7627194330424971E-2</v>
      </c>
    </row>
    <row r="41" spans="1:12" ht="5" customHeight="1">
      <c r="D41" s="339"/>
      <c r="E41" s="28"/>
      <c r="K41" s="341"/>
      <c r="L41" s="342"/>
    </row>
    <row r="42" spans="1:12">
      <c r="D42" s="11" t="s">
        <v>413</v>
      </c>
      <c r="E42" s="28"/>
    </row>
    <row r="43" spans="1:12">
      <c r="D43" s="13" t="s">
        <v>420</v>
      </c>
      <c r="E43" s="24">
        <f>'Table 3.28-REC Volume'!H43</f>
        <v>25963.542000000001</v>
      </c>
      <c r="F43" s="32">
        <v>11156.433282822012</v>
      </c>
      <c r="G43" s="61">
        <f>IF(ISERROR(F43/E43),"n/a",F43/E43)</f>
        <v>0.42969612092302395</v>
      </c>
      <c r="I43" s="23">
        <v>1.2615773174013249</v>
      </c>
      <c r="K43" s="32">
        <f>F43*I43</f>
        <v>14074.703172709451</v>
      </c>
      <c r="L43" s="61">
        <f>IF(ISERROR(K43/E43),"n/a",K43/E43)</f>
        <v>0.54209487953182389</v>
      </c>
    </row>
    <row r="44" spans="1:12">
      <c r="D44" s="343" t="s">
        <v>421</v>
      </c>
      <c r="E44" s="203">
        <f>'Table 3.28-REC Volume'!H44</f>
        <v>9981.9505179573389</v>
      </c>
      <c r="F44" s="131">
        <v>4289.2054168118393</v>
      </c>
      <c r="G44" s="129">
        <f>IF(ISERROR(F44/E44),"n/a",F44/E44)</f>
        <v>0.42969612092302406</v>
      </c>
      <c r="H44" s="204"/>
      <c r="I44" s="338">
        <v>1.2615773174013249</v>
      </c>
      <c r="J44" s="204"/>
      <c r="K44" s="131">
        <f>F44*I44</f>
        <v>5411.1642635247117</v>
      </c>
      <c r="L44" s="129">
        <f>IF(ISERROR(K44/E44),"n/a",K44/E44)</f>
        <v>0.542094879531824</v>
      </c>
    </row>
    <row r="45" spans="1:12">
      <c r="D45" s="339" t="s">
        <v>422</v>
      </c>
      <c r="E45" s="6">
        <f>SUM(E43:E44)</f>
        <v>35945.49251795734</v>
      </c>
      <c r="F45" s="32">
        <f>SUM(F43:F44)</f>
        <v>15445.638699633852</v>
      </c>
      <c r="G45" s="61">
        <f>IF(ISERROR(F45/E45),"n/a",F45/E45)</f>
        <v>0.42969612092302401</v>
      </c>
      <c r="K45" s="32">
        <f>SUM(K43:K44)</f>
        <v>19485.867436234163</v>
      </c>
      <c r="L45" s="61">
        <f>IF(ISERROR(K45/E45),"n/a",K45/E45)</f>
        <v>0.54209487953182389</v>
      </c>
    </row>
    <row r="46" spans="1:12" ht="5" customHeight="1">
      <c r="D46" s="339"/>
    </row>
    <row r="47" spans="1:12">
      <c r="D47" s="97" t="s">
        <v>424</v>
      </c>
      <c r="E47" s="6">
        <f>SUM(E40,E45)</f>
        <v>319281.41794080392</v>
      </c>
      <c r="F47" s="32">
        <f>SUM(F40,F45)</f>
        <v>35125.710507646923</v>
      </c>
      <c r="G47" s="61">
        <f>IF(ISERROR(F47/E47),"n/a",F47/E47)</f>
        <v>0.11001489135881805</v>
      </c>
      <c r="K47" s="32">
        <f>SUM(K40,K45)</f>
        <v>44313.799634052732</v>
      </c>
      <c r="L47" s="61">
        <f>IF(ISERROR(K47/E47),"n/a",K47/E47)</f>
        <v>0.13879229151465586</v>
      </c>
    </row>
    <row r="48" spans="1:12">
      <c r="D48" s="339"/>
      <c r="E48" s="6"/>
      <c r="F48" s="32"/>
      <c r="G48" s="61"/>
      <c r="K48" s="32"/>
      <c r="L48" s="61"/>
    </row>
    <row r="49" spans="1:12">
      <c r="D49" s="263" t="s">
        <v>469</v>
      </c>
      <c r="E49" s="265">
        <f>SUM(E8:E10,E23:E25)</f>
        <v>17520.109487867758</v>
      </c>
      <c r="F49" s="352">
        <f>SUM(F8:F10,F23:F25)</f>
        <v>743.48844231125997</v>
      </c>
      <c r="G49" s="353">
        <f>IF(ISERROR(F49/E49),"n/a",F49/E49)</f>
        <v>4.2436289729017238E-2</v>
      </c>
      <c r="H49" s="264"/>
      <c r="I49" s="354">
        <v>1.2615773174013249</v>
      </c>
      <c r="J49" s="264"/>
      <c r="K49" s="352">
        <f>F49*I49</f>
        <v>937.96815456992908</v>
      </c>
      <c r="L49" s="355">
        <f>IF(ISERROR(K49/E49),"n/a",K49/E49)</f>
        <v>5.3536660556798961E-2</v>
      </c>
    </row>
    <row r="50" spans="1:12">
      <c r="D50" s="356" t="s">
        <v>395</v>
      </c>
      <c r="E50" s="10">
        <f>SUM(E15:E16,E30:E31,E36:E37)</f>
        <v>85396.028177364162</v>
      </c>
      <c r="F50" s="131">
        <f>SUM(F15:F16,F30:F31,F36:F37)</f>
        <v>3623.8905934419454</v>
      </c>
      <c r="G50" s="129">
        <f>IF(ISERROR(F50/E50),"n/a",F50/E50)</f>
        <v>4.2436289729017238E-2</v>
      </c>
      <c r="H50" s="204"/>
      <c r="I50" s="338">
        <v>1.2615773174013249</v>
      </c>
      <c r="J50" s="204"/>
      <c r="K50" s="131">
        <f>F50*I50</f>
        <v>4571.8181734303853</v>
      </c>
      <c r="L50" s="357">
        <f>IF(ISERROR(K50/E50),"n/a",K50/E50)</f>
        <v>5.3536660556798968E-2</v>
      </c>
    </row>
    <row r="51" spans="1:12" hidden="1">
      <c r="A51" s="17"/>
    </row>
    <row r="52" spans="1:12" hidden="1">
      <c r="A52" s="17"/>
      <c r="D52" s="13" t="s">
        <v>186</v>
      </c>
      <c r="E52" s="105">
        <f>E17-'Table 3.28-REC Volume'!H17</f>
        <v>0</v>
      </c>
      <c r="F52" s="105">
        <v>0</v>
      </c>
      <c r="J52" s="13" t="s">
        <v>186</v>
      </c>
      <c r="K52" s="105">
        <f>K47/F47-I44</f>
        <v>0</v>
      </c>
      <c r="L52" s="105">
        <f>L47/G47-I44</f>
        <v>0</v>
      </c>
    </row>
    <row r="53" spans="1:12" hidden="1">
      <c r="A53" s="17"/>
      <c r="E53" s="105">
        <f>E32-'Table 3.28-REC Volume'!H32</f>
        <v>0</v>
      </c>
      <c r="F53" s="105">
        <v>0</v>
      </c>
    </row>
    <row r="54" spans="1:12" hidden="1">
      <c r="E54" s="105">
        <f>E38-'Table 3.28-REC Volume'!H38</f>
        <v>0</v>
      </c>
      <c r="F54" s="105">
        <v>0</v>
      </c>
    </row>
    <row r="55" spans="1:12" hidden="1">
      <c r="E55" s="105">
        <f>E45-'Table 3.28-REC Volume'!H45</f>
        <v>0</v>
      </c>
      <c r="F55" s="105">
        <v>0</v>
      </c>
    </row>
    <row r="56" spans="1:12" hidden="1">
      <c r="E56" s="105">
        <f>E47-'Table 3.28-REC Volume'!H47</f>
        <v>0</v>
      </c>
      <c r="F56" s="167"/>
    </row>
    <row r="57" spans="1:12">
      <c r="A57" s="103"/>
      <c r="B57" s="204"/>
      <c r="C57" s="213"/>
    </row>
    <row r="58" spans="1:12">
      <c r="A58" s="4" t="s">
        <v>230</v>
      </c>
      <c r="C58" s="28"/>
    </row>
    <row r="59" spans="1:12">
      <c r="A59" s="11" t="s">
        <v>692</v>
      </c>
      <c r="C59" s="28"/>
    </row>
    <row r="60" spans="1:12">
      <c r="A60" s="17" t="s">
        <v>803</v>
      </c>
    </row>
    <row r="61" spans="1:12">
      <c r="A61" s="17" t="s">
        <v>801</v>
      </c>
    </row>
    <row r="62" spans="1:12">
      <c r="A62" s="2" t="s">
        <v>409</v>
      </c>
    </row>
    <row r="63" spans="1:12">
      <c r="A63" s="17" t="s">
        <v>7</v>
      </c>
    </row>
    <row r="64" spans="1:12">
      <c r="A64" s="17" t="s">
        <v>649</v>
      </c>
    </row>
    <row r="65" spans="1:1">
      <c r="A65" s="17" t="s">
        <v>8</v>
      </c>
    </row>
    <row r="66" spans="1:1">
      <c r="A66" s="17" t="s">
        <v>650</v>
      </c>
    </row>
    <row r="67" spans="1:1">
      <c r="A67" s="11"/>
    </row>
  </sheetData>
  <phoneticPr fontId="5" type="noConversion"/>
  <printOptions horizontalCentered="1"/>
  <pageMargins left="0.75" right="0.75" top="1" bottom="1" header="0.5" footer="0.5"/>
  <pageSetup scale="62" orientation="landscape" r:id="rId1"/>
  <headerFooter alignWithMargins="0">
    <oddFooter>&amp;L&amp;F</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pageSetUpPr fitToPage="1"/>
  </sheetPr>
  <dimension ref="A1:M67"/>
  <sheetViews>
    <sheetView zoomScale="70" workbookViewId="0"/>
  </sheetViews>
  <sheetFormatPr baseColWidth="10" defaultColWidth="8.83203125" defaultRowHeight="13"/>
  <cols>
    <col min="1" max="1" width="27.1640625" customWidth="1"/>
    <col min="2" max="2" width="9.5" customWidth="1"/>
    <col min="3" max="3" width="25.5" customWidth="1"/>
    <col min="4" max="4" width="18.5" customWidth="1"/>
    <col min="5" max="7" width="11.5" customWidth="1"/>
    <col min="8" max="8" width="3.5" customWidth="1"/>
    <col min="9" max="9" width="11.5" customWidth="1"/>
    <col min="10" max="10" width="3.5" customWidth="1"/>
    <col min="11" max="12" width="11.5" customWidth="1"/>
  </cols>
  <sheetData>
    <row r="1" spans="1:13" ht="16">
      <c r="A1" s="117" t="s">
        <v>667</v>
      </c>
      <c r="B1" s="117"/>
      <c r="C1" s="117"/>
      <c r="D1" s="117"/>
    </row>
    <row r="2" spans="1:13" ht="16">
      <c r="A2" s="117" t="s">
        <v>780</v>
      </c>
      <c r="B2" s="335"/>
      <c r="C2" s="335"/>
      <c r="D2" s="335"/>
    </row>
    <row r="3" spans="1:13" ht="42">
      <c r="A3" s="336" t="s">
        <v>391</v>
      </c>
      <c r="B3" s="337" t="s">
        <v>394</v>
      </c>
      <c r="C3" s="336" t="s">
        <v>392</v>
      </c>
      <c r="D3" s="336" t="s">
        <v>343</v>
      </c>
      <c r="E3" s="125" t="s">
        <v>426</v>
      </c>
      <c r="F3" s="138" t="s">
        <v>398</v>
      </c>
      <c r="G3" s="8" t="s">
        <v>99</v>
      </c>
      <c r="H3" s="8"/>
      <c r="I3" s="142" t="s">
        <v>399</v>
      </c>
      <c r="J3" s="65"/>
      <c r="K3" s="119" t="s">
        <v>410</v>
      </c>
      <c r="L3" s="31" t="s">
        <v>128</v>
      </c>
      <c r="M3" s="4"/>
    </row>
    <row r="4" spans="1:13" ht="14">
      <c r="A4" s="17" t="s">
        <v>405</v>
      </c>
      <c r="B4" t="s">
        <v>402</v>
      </c>
      <c r="C4" t="s">
        <v>393</v>
      </c>
      <c r="D4" t="s">
        <v>273</v>
      </c>
      <c r="E4" s="6">
        <v>0</v>
      </c>
      <c r="F4" s="32">
        <v>0</v>
      </c>
      <c r="G4" s="61" t="str">
        <f>IF(ISERROR(F4/E4),"n/a",F4/E4)</f>
        <v>n/a</v>
      </c>
      <c r="I4" s="23">
        <v>1.2615773174013249</v>
      </c>
      <c r="K4" s="32">
        <f>F4*I4</f>
        <v>0</v>
      </c>
      <c r="L4" s="61" t="str">
        <f>IF(ISERROR(K4/E4),"n/a",K4/E4)</f>
        <v>n/a</v>
      </c>
    </row>
    <row r="5" spans="1:13" ht="14">
      <c r="D5" t="s">
        <v>368</v>
      </c>
      <c r="E5" s="6">
        <v>0</v>
      </c>
      <c r="F5" s="32">
        <v>0</v>
      </c>
      <c r="G5" s="61" t="str">
        <f>IF(ISERROR(F5/E5),"n/a",F5/E5)</f>
        <v>n/a</v>
      </c>
      <c r="I5" s="23">
        <v>1.2615773174013249</v>
      </c>
      <c r="K5" s="32">
        <f>F5*I5</f>
        <v>0</v>
      </c>
      <c r="L5" s="61" t="str">
        <f>IF(ISERROR(K5/E5),"n/a",K5/E5)</f>
        <v>n/a</v>
      </c>
    </row>
    <row r="6" spans="1:13" ht="14">
      <c r="D6" t="s">
        <v>274</v>
      </c>
      <c r="E6" s="6">
        <v>0</v>
      </c>
      <c r="F6" s="32">
        <v>0</v>
      </c>
      <c r="G6" s="61" t="str">
        <f>IF(ISERROR(F6/E6),"n/a",F6/E6)</f>
        <v>n/a</v>
      </c>
      <c r="I6" s="23">
        <v>1.2615773174013249</v>
      </c>
      <c r="K6" s="32">
        <f>F6*I6</f>
        <v>0</v>
      </c>
      <c r="L6" s="61" t="str">
        <f>IF(ISERROR(K6/E6),"n/a",K6/E6)</f>
        <v>n/a</v>
      </c>
    </row>
    <row r="7" spans="1:13">
      <c r="E7" s="6"/>
    </row>
    <row r="8" spans="1:13">
      <c r="B8" t="s">
        <v>469</v>
      </c>
      <c r="C8" t="s">
        <v>393</v>
      </c>
      <c r="D8" t="s">
        <v>273</v>
      </c>
      <c r="E8" s="6">
        <f>'Table 3.28-REC Volume'!H8</f>
        <v>5231.6496929738096</v>
      </c>
      <c r="F8" s="32">
        <v>417.87803027813254</v>
      </c>
      <c r="G8" s="61">
        <f>IF(ISERROR(F8/E8),"n/a",F8/E8)</f>
        <v>7.9875002112497998E-2</v>
      </c>
      <c r="I8" s="23">
        <v>1.2615773174013249</v>
      </c>
      <c r="K8" s="32">
        <f>F8*I8</f>
        <v>527.18544443923611</v>
      </c>
      <c r="L8" s="61">
        <f>IF(ISERROR(K8/E8),"n/a",K8/E8)</f>
        <v>0.10076849089251039</v>
      </c>
    </row>
    <row r="9" spans="1:13">
      <c r="D9" t="s">
        <v>368</v>
      </c>
      <c r="E9" s="6">
        <f>'Table 3.28-REC Volume'!H9</f>
        <v>289.06988019089027</v>
      </c>
      <c r="F9" s="32">
        <v>23.089457290906907</v>
      </c>
      <c r="G9" s="61">
        <f>IF(ISERROR(F9/E9),"n/a",F9/E9)</f>
        <v>7.9875002112498011E-2</v>
      </c>
      <c r="I9" s="23">
        <v>1.2615773174013249</v>
      </c>
      <c r="K9" s="32">
        <f>F9*I9</f>
        <v>29.129135589314799</v>
      </c>
      <c r="L9" s="61">
        <f>IF(ISERROR(K9/E9),"n/a",K9/E9)</f>
        <v>0.1007684908925104</v>
      </c>
    </row>
    <row r="10" spans="1:13">
      <c r="D10" t="s">
        <v>274</v>
      </c>
      <c r="E10" s="6">
        <f>'Table 3.28-REC Volume'!H10</f>
        <v>6953.0216499867183</v>
      </c>
      <c r="F10" s="32">
        <v>555.37261898093357</v>
      </c>
      <c r="G10" s="61">
        <f>IF(ISERROR(F10/E10),"n/a",F10/E10)</f>
        <v>7.9875002112498011E-2</v>
      </c>
      <c r="I10" s="23">
        <v>1.2615773174013249</v>
      </c>
      <c r="K10" s="32">
        <f>F10*I10</f>
        <v>700.64549881211428</v>
      </c>
      <c r="L10" s="61">
        <f>IF(ISERROR(K10/E10),"n/a",K10/E10)</f>
        <v>0.1007684908925104</v>
      </c>
    </row>
    <row r="11" spans="1:13">
      <c r="E11" s="6"/>
    </row>
    <row r="12" spans="1:13" ht="14">
      <c r="B12" t="s">
        <v>402</v>
      </c>
      <c r="C12" s="11" t="s">
        <v>43</v>
      </c>
      <c r="D12" t="s">
        <v>368</v>
      </c>
      <c r="E12" s="6">
        <v>0</v>
      </c>
      <c r="F12" s="32">
        <v>0</v>
      </c>
      <c r="G12" s="61" t="str">
        <f>IF(ISERROR(F12/E12),"n/a",F12/E12)</f>
        <v>n/a</v>
      </c>
      <c r="I12" s="23">
        <v>1.2615773174013249</v>
      </c>
      <c r="K12" s="32">
        <f>F12*I12</f>
        <v>0</v>
      </c>
      <c r="L12" s="61" t="str">
        <f>IF(ISERROR(K12/E12),"n/a",K12/E12)</f>
        <v>n/a</v>
      </c>
    </row>
    <row r="13" spans="1:13" ht="14">
      <c r="C13" s="11" t="s">
        <v>648</v>
      </c>
      <c r="D13" t="s">
        <v>274</v>
      </c>
      <c r="E13" s="6">
        <v>0</v>
      </c>
      <c r="F13" s="32">
        <v>0</v>
      </c>
      <c r="G13" s="61" t="str">
        <f>IF(ISERROR(F13/E13),"n/a",F13/E13)</f>
        <v>n/a</v>
      </c>
      <c r="I13" s="23">
        <v>1.2615773174013249</v>
      </c>
      <c r="K13" s="32">
        <f>F13*I13</f>
        <v>0</v>
      </c>
      <c r="L13" s="61" t="str">
        <f>IF(ISERROR(K13/E13),"n/a",K13/E13)</f>
        <v>n/a</v>
      </c>
    </row>
    <row r="14" spans="1:13">
      <c r="E14" s="6"/>
    </row>
    <row r="15" spans="1:13">
      <c r="B15" t="s">
        <v>395</v>
      </c>
      <c r="C15" s="11" t="s">
        <v>43</v>
      </c>
      <c r="D15" t="s">
        <v>368</v>
      </c>
      <c r="E15" s="6">
        <f>'Table 3.28-REC Volume'!H15</f>
        <v>277.47861918670725</v>
      </c>
      <c r="F15" s="32">
        <v>22.163605293711267</v>
      </c>
      <c r="G15" s="61">
        <f>IF(ISERROR(F15/E15),"n/a",F15/E15)</f>
        <v>7.9875002112497998E-2</v>
      </c>
      <c r="I15" s="23">
        <v>1.2615773174013249</v>
      </c>
      <c r="K15" s="32">
        <f>F15*I15</f>
        <v>27.961101710382064</v>
      </c>
      <c r="L15" s="61">
        <f>IF(ISERROR(K15/E15),"n/a",K15/E15)</f>
        <v>0.10076849089251037</v>
      </c>
    </row>
    <row r="16" spans="1:13">
      <c r="B16" s="204"/>
      <c r="C16" s="238" t="s">
        <v>43</v>
      </c>
      <c r="D16" s="204" t="s">
        <v>274</v>
      </c>
      <c r="E16" s="10">
        <f>'Table 3.28-REC Volume'!H16</f>
        <v>2107.0872803566358</v>
      </c>
      <c r="F16" s="131">
        <v>168.30360096970395</v>
      </c>
      <c r="G16" s="129">
        <f>IF(ISERROR(F16/E16),"n/a",F16/E16)</f>
        <v>7.9875002112497998E-2</v>
      </c>
      <c r="H16" s="204"/>
      <c r="I16" s="338">
        <v>1.2615773174013249</v>
      </c>
      <c r="J16" s="204"/>
      <c r="K16" s="131">
        <f>F16*I16</f>
        <v>212.32800542034215</v>
      </c>
      <c r="L16" s="129">
        <f>IF(ISERROR(K16/E16),"n/a",K16/E16)</f>
        <v>0.1007684908925104</v>
      </c>
    </row>
    <row r="17" spans="1:12">
      <c r="D17" s="339" t="s">
        <v>401</v>
      </c>
      <c r="E17" s="6">
        <f>SUM(E4:E16)</f>
        <v>14858.307122694761</v>
      </c>
      <c r="F17" s="32">
        <f>SUM(F4:F16)</f>
        <v>1186.8073128133883</v>
      </c>
      <c r="G17" s="61">
        <f>IF(ISERROR(F17/E17),"n/a",F17/E17)</f>
        <v>7.9875002112498011E-2</v>
      </c>
      <c r="K17" s="32">
        <f>SUM(K4:K16)</f>
        <v>1497.2491859713894</v>
      </c>
      <c r="L17" s="61">
        <f>IF(ISERROR(K17/E17),"n/a",K17/E17)</f>
        <v>0.10076849089251039</v>
      </c>
    </row>
    <row r="18" spans="1:12" ht="5" customHeight="1"/>
    <row r="19" spans="1:12" ht="14">
      <c r="A19" s="17" t="s">
        <v>406</v>
      </c>
      <c r="B19" t="s">
        <v>402</v>
      </c>
      <c r="C19" t="s">
        <v>393</v>
      </c>
      <c r="D19" t="s">
        <v>273</v>
      </c>
      <c r="E19" s="6">
        <v>0</v>
      </c>
      <c r="F19" s="32">
        <v>0</v>
      </c>
      <c r="G19" s="61" t="str">
        <f>IF(ISERROR(F19/E19),"n/a",F19/E19)</f>
        <v>n/a</v>
      </c>
      <c r="I19" s="23">
        <v>1.2615773174013249</v>
      </c>
      <c r="K19" s="32">
        <f>F19*I19</f>
        <v>0</v>
      </c>
      <c r="L19" s="61" t="str">
        <f>IF(ISERROR(K19/E19),"n/a",K19/E19)</f>
        <v>n/a</v>
      </c>
    </row>
    <row r="20" spans="1:12" ht="14">
      <c r="D20" t="s">
        <v>368</v>
      </c>
      <c r="E20" s="6">
        <v>0</v>
      </c>
      <c r="F20" s="32">
        <v>0</v>
      </c>
      <c r="G20" s="61" t="str">
        <f>IF(ISERROR(F20/E20),"n/a",F20/E20)</f>
        <v>n/a</v>
      </c>
      <c r="I20" s="23">
        <v>1.2615773174013249</v>
      </c>
      <c r="K20" s="32">
        <f>F20*I20</f>
        <v>0</v>
      </c>
      <c r="L20" s="61" t="str">
        <f>IF(ISERROR(K20/E20),"n/a",K20/E20)</f>
        <v>n/a</v>
      </c>
    </row>
    <row r="21" spans="1:12" ht="14">
      <c r="D21" t="s">
        <v>274</v>
      </c>
      <c r="E21" s="6">
        <v>0</v>
      </c>
      <c r="F21" s="32">
        <v>0</v>
      </c>
      <c r="G21" s="61" t="str">
        <f>IF(ISERROR(F21/E21),"n/a",F21/E21)</f>
        <v>n/a</v>
      </c>
      <c r="I21" s="23">
        <v>1.2615773174013249</v>
      </c>
      <c r="K21" s="32">
        <f>F21*I21</f>
        <v>0</v>
      </c>
      <c r="L21" s="61" t="str">
        <f>IF(ISERROR(K21/E21),"n/a",K21/E21)</f>
        <v>n/a</v>
      </c>
    </row>
    <row r="22" spans="1:12">
      <c r="E22" s="6"/>
    </row>
    <row r="23" spans="1:12">
      <c r="B23" t="s">
        <v>469</v>
      </c>
      <c r="C23" t="s">
        <v>393</v>
      </c>
      <c r="D23" t="s">
        <v>273</v>
      </c>
      <c r="E23" s="6">
        <f>'Table 3.28-REC Volume'!H23</f>
        <v>2116.5126412704262</v>
      </c>
      <c r="F23" s="32">
        <v>169.05645169260401</v>
      </c>
      <c r="G23" s="61">
        <f>IF(ISERROR(F23/E23),"n/a",F23/E23)</f>
        <v>7.9875002112497998E-2</v>
      </c>
      <c r="I23" s="23">
        <v>1.2615773174013249</v>
      </c>
      <c r="K23" s="32">
        <f>F23*I23</f>
        <v>213.27778481574205</v>
      </c>
      <c r="L23" s="61">
        <f>IF(ISERROR(K23/E23),"n/a",K23/E23)</f>
        <v>0.10076849089251039</v>
      </c>
    </row>
    <row r="24" spans="1:12">
      <c r="D24" t="s">
        <v>368</v>
      </c>
      <c r="E24" s="6">
        <f>'Table 3.28-REC Volume'!H24</f>
        <v>116.94591410740497</v>
      </c>
      <c r="F24" s="32">
        <v>9.3410551363769851</v>
      </c>
      <c r="G24" s="61">
        <f>IF(ISERROR(F24/E24),"n/a",F24/E24)</f>
        <v>7.9875002112498025E-2</v>
      </c>
      <c r="I24" s="23">
        <v>1.2615773174013249</v>
      </c>
      <c r="K24" s="32">
        <f>F24*I24</f>
        <v>11.784463280648344</v>
      </c>
      <c r="L24" s="61">
        <f>IF(ISERROR(K24/E24),"n/a",K24/E24)</f>
        <v>0.10076849089251043</v>
      </c>
    </row>
    <row r="25" spans="1:12">
      <c r="D25" t="s">
        <v>274</v>
      </c>
      <c r="E25" s="6">
        <f>'Table 3.28-REC Volume'!H25</f>
        <v>2812.9097093385071</v>
      </c>
      <c r="F25" s="32">
        <v>224.68116897567941</v>
      </c>
      <c r="G25" s="61">
        <f>IF(ISERROR(F25/E25),"n/a",F25/E25)</f>
        <v>7.9875002112498011E-2</v>
      </c>
      <c r="I25" s="23">
        <v>1.2615773174013249</v>
      </c>
      <c r="K25" s="32">
        <f>F25*I25</f>
        <v>283.45266642693144</v>
      </c>
      <c r="L25" s="61">
        <f>IF(ISERROR(K25/E25),"n/a",K25/E25)</f>
        <v>0.1007684908925104</v>
      </c>
    </row>
    <row r="26" spans="1:12">
      <c r="E26" s="6"/>
    </row>
    <row r="27" spans="1:12" ht="14">
      <c r="B27" t="s">
        <v>402</v>
      </c>
      <c r="C27" s="11" t="s">
        <v>43</v>
      </c>
      <c r="D27" s="11" t="s">
        <v>368</v>
      </c>
      <c r="E27" s="6">
        <v>0</v>
      </c>
      <c r="F27" s="32">
        <v>0</v>
      </c>
      <c r="G27" s="61" t="str">
        <f>IF(ISERROR(F27/E27),"n/a",F27/E27)</f>
        <v>n/a</v>
      </c>
      <c r="I27" s="23">
        <v>1.2615773174013249</v>
      </c>
      <c r="K27" s="32">
        <f>F27*I27</f>
        <v>0</v>
      </c>
      <c r="L27" s="61" t="str">
        <f>IF(ISERROR(K27/E27),"n/a",K27/E27)</f>
        <v>n/a</v>
      </c>
    </row>
    <row r="28" spans="1:12" ht="14">
      <c r="C28" s="11" t="s">
        <v>648</v>
      </c>
      <c r="D28" t="s">
        <v>274</v>
      </c>
      <c r="E28" s="6">
        <v>0</v>
      </c>
      <c r="F28" s="32">
        <v>0</v>
      </c>
      <c r="G28" s="61" t="str">
        <f>IF(ISERROR(F28/E28),"n/a",F28/E28)</f>
        <v>n/a</v>
      </c>
      <c r="I28" s="23">
        <v>1.2615773174013249</v>
      </c>
      <c r="K28" s="32">
        <f>F28*I28</f>
        <v>0</v>
      </c>
      <c r="L28" s="61" t="str">
        <f>IF(ISERROR(K28/E28),"n/a",K28/E28)</f>
        <v>n/a</v>
      </c>
    </row>
    <row r="29" spans="1:12">
      <c r="E29" s="6"/>
    </row>
    <row r="30" spans="1:12">
      <c r="B30" t="s">
        <v>395</v>
      </c>
      <c r="C30" s="11" t="s">
        <v>43</v>
      </c>
      <c r="D30" t="s">
        <v>368</v>
      </c>
      <c r="E30" s="6">
        <f>'Table 3.28-REC Volume'!H30</f>
        <v>112.25656143981975</v>
      </c>
      <c r="F30" s="32">
        <v>8.9664930821473643</v>
      </c>
      <c r="G30" s="61">
        <f>IF(ISERROR(F30/E30),"n/a",F30/E30)</f>
        <v>7.9875002112497998E-2</v>
      </c>
      <c r="I30" s="23">
        <v>1.2615773174013249</v>
      </c>
      <c r="K30" s="32">
        <f>F30*I30</f>
        <v>11.31192428907301</v>
      </c>
      <c r="L30" s="61">
        <f>IF(ISERROR(K30/E30),"n/a",K30/E30)</f>
        <v>0.1007684908925104</v>
      </c>
    </row>
    <row r="31" spans="1:12">
      <c r="B31" s="204"/>
      <c r="C31" s="238" t="s">
        <v>43</v>
      </c>
      <c r="D31" s="204" t="s">
        <v>274</v>
      </c>
      <c r="E31" s="10">
        <f>'Table 3.28-REC Volume'!H31</f>
        <v>852.44179692007276</v>
      </c>
      <c r="F31" s="131">
        <v>68.088790329772408</v>
      </c>
      <c r="G31" s="129">
        <f>IF(ISERROR(F31/E31),"n/a",F31/E31)</f>
        <v>7.9875002112498011E-2</v>
      </c>
      <c r="H31" s="204"/>
      <c r="I31" s="338">
        <v>1.2615773174013249</v>
      </c>
      <c r="J31" s="204"/>
      <c r="K31" s="131">
        <f>F31*I31</f>
        <v>85.899273449335553</v>
      </c>
      <c r="L31" s="129">
        <f>IF(ISERROR(K31/E31),"n/a",K31/E31)</f>
        <v>0.1007684908925104</v>
      </c>
    </row>
    <row r="32" spans="1:12">
      <c r="D32" s="339" t="s">
        <v>400</v>
      </c>
      <c r="E32" s="6">
        <f>SUM(E19:E31)</f>
        <v>6011.0666230762317</v>
      </c>
      <c r="F32" s="32">
        <f>SUM(F19:F31)</f>
        <v>480.13395921658014</v>
      </c>
      <c r="G32" s="61">
        <f>IF(ISERROR(F32/E32),"n/a",F32/E32)</f>
        <v>7.9875002112497984E-2</v>
      </c>
      <c r="K32" s="32">
        <f>SUM(K19:K31)</f>
        <v>605.72611226173035</v>
      </c>
      <c r="L32" s="61">
        <f>IF(ISERROR(K32/E32),"n/a",K32/E32)</f>
        <v>0.10076849089251037</v>
      </c>
    </row>
    <row r="33" spans="1:12" ht="5" customHeight="1"/>
    <row r="34" spans="1:12" ht="14">
      <c r="A34" s="17" t="s">
        <v>407</v>
      </c>
      <c r="B34" t="s">
        <v>402</v>
      </c>
      <c r="C34" s="11" t="s">
        <v>404</v>
      </c>
      <c r="D34" s="11" t="s">
        <v>368</v>
      </c>
      <c r="E34" s="6">
        <v>0</v>
      </c>
      <c r="F34" s="32">
        <v>0</v>
      </c>
      <c r="G34" s="61" t="str">
        <f>IF(ISERROR(F34/E34),"n/a",F34/E34)</f>
        <v>n/a</v>
      </c>
      <c r="I34" s="23">
        <v>1.2615773174013249</v>
      </c>
      <c r="K34" s="32">
        <f>F34*I34</f>
        <v>0</v>
      </c>
      <c r="L34" s="61" t="str">
        <f>IF(ISERROR(K34/E34),"n/a",K34/E34)</f>
        <v>n/a</v>
      </c>
    </row>
    <row r="35" spans="1:12">
      <c r="E35" s="6"/>
    </row>
    <row r="36" spans="1:12">
      <c r="B36" t="s">
        <v>395</v>
      </c>
      <c r="C36" t="s">
        <v>404</v>
      </c>
      <c r="D36" t="s">
        <v>368</v>
      </c>
      <c r="E36" s="6">
        <f>'Table 3.28-REC Volume'!H36</f>
        <v>19774.679001083681</v>
      </c>
      <c r="F36" s="32">
        <v>1579.5025269855294</v>
      </c>
      <c r="G36" s="61">
        <f>IF(ISERROR(F36/E36),"n/a",F36/E36)</f>
        <v>7.9875002112498025E-2</v>
      </c>
      <c r="I36" s="23">
        <v>1.2615773174013249</v>
      </c>
      <c r="K36" s="32">
        <f>F36*I36</f>
        <v>1992.6645608230181</v>
      </c>
      <c r="L36" s="61">
        <f>IF(ISERROR(K36/E36),"n/a",K36/E36)</f>
        <v>0.10076849089251043</v>
      </c>
    </row>
    <row r="37" spans="1:12">
      <c r="B37" s="204"/>
      <c r="C37" s="204"/>
      <c r="D37" s="204" t="s">
        <v>274</v>
      </c>
      <c r="E37" s="10">
        <f>'Table 3.28-REC Volume'!H37</f>
        <v>62272.084918377244</v>
      </c>
      <c r="F37" s="131">
        <v>4973.9829144050373</v>
      </c>
      <c r="G37" s="129">
        <f>IF(ISERROR(F37/E37),"n/a",F37/E37)</f>
        <v>7.9875002112497998E-2</v>
      </c>
      <c r="H37" s="204"/>
      <c r="I37" s="338">
        <v>1.2615773174013249</v>
      </c>
      <c r="J37" s="204"/>
      <c r="K37" s="131">
        <f>F37*I37</f>
        <v>6275.0640219551306</v>
      </c>
      <c r="L37" s="129">
        <f>IF(ISERROR(K37/E37),"n/a",K37/E37)</f>
        <v>0.10076849089251039</v>
      </c>
    </row>
    <row r="38" spans="1:12">
      <c r="D38" s="339" t="s">
        <v>408</v>
      </c>
      <c r="E38" s="6">
        <f>SUM(E34:E37)</f>
        <v>82046.763919460922</v>
      </c>
      <c r="F38" s="32">
        <f>SUM(F34:F37)</f>
        <v>6553.4854413905668</v>
      </c>
      <c r="G38" s="61">
        <f>IF(ISERROR(F38/E38),"n/a",F38/E38)</f>
        <v>7.9875002112498011E-2</v>
      </c>
      <c r="K38" s="32">
        <f>SUM(K34:K37)</f>
        <v>8267.7285827781488</v>
      </c>
      <c r="L38" s="61">
        <f>IF(ISERROR(K38/E38),"n/a",K38/E38)</f>
        <v>0.1007684908925104</v>
      </c>
    </row>
    <row r="39" spans="1:12" ht="5" customHeight="1">
      <c r="D39" s="339"/>
      <c r="E39" s="6"/>
      <c r="F39" s="6"/>
      <c r="G39" s="61"/>
      <c r="K39" s="32"/>
      <c r="L39" s="61"/>
    </row>
    <row r="40" spans="1:12">
      <c r="D40" s="339" t="s">
        <v>423</v>
      </c>
      <c r="E40" s="6">
        <f>SUM(E17,E32,E38)</f>
        <v>102916.13766523192</v>
      </c>
      <c r="F40" s="32">
        <f>SUM(F17,F32,F38)</f>
        <v>8220.4267134205347</v>
      </c>
      <c r="G40" s="61">
        <f>IF(ISERROR(F40/E40),"n/a",F40/E40)</f>
        <v>7.9875002112497998E-2</v>
      </c>
      <c r="K40" s="32">
        <f>SUM(K17,K32,K38)</f>
        <v>10370.703881011268</v>
      </c>
      <c r="L40" s="61">
        <f>IF(ISERROR(K40/E40),"n/a",K40/E40)</f>
        <v>0.10076849089251039</v>
      </c>
    </row>
    <row r="41" spans="1:12" ht="5" customHeight="1">
      <c r="D41" s="339"/>
      <c r="E41" s="28"/>
      <c r="K41" s="341"/>
      <c r="L41" s="342"/>
    </row>
    <row r="42" spans="1:12">
      <c r="D42" s="11" t="s">
        <v>413</v>
      </c>
      <c r="E42" s="28"/>
    </row>
    <row r="43" spans="1:12" ht="14">
      <c r="D43" s="13" t="s">
        <v>420</v>
      </c>
      <c r="E43" s="24">
        <v>0</v>
      </c>
      <c r="F43" s="32">
        <v>0</v>
      </c>
      <c r="G43" s="61" t="str">
        <f>IF(ISERROR(F43/E43),"n/a",F43/E43)</f>
        <v>n/a</v>
      </c>
      <c r="I43" s="23">
        <v>1.2615773174013249</v>
      </c>
      <c r="K43" s="32">
        <f>F43*I43</f>
        <v>0</v>
      </c>
      <c r="L43" s="61" t="str">
        <f>IF(ISERROR(K43/E43),"n/a",K43/E43)</f>
        <v>n/a</v>
      </c>
    </row>
    <row r="44" spans="1:12" ht="14">
      <c r="D44" s="343" t="s">
        <v>421</v>
      </c>
      <c r="E44" s="203">
        <v>0</v>
      </c>
      <c r="F44" s="131">
        <v>0</v>
      </c>
      <c r="G44" s="129" t="str">
        <f>IF(ISERROR(F44/E44),"n/a",F44/E44)</f>
        <v>n/a</v>
      </c>
      <c r="H44" s="204"/>
      <c r="I44" s="338">
        <v>1.2615773174013249</v>
      </c>
      <c r="J44" s="204"/>
      <c r="K44" s="131">
        <f>F44*I44</f>
        <v>0</v>
      </c>
      <c r="L44" s="129" t="str">
        <f>IF(ISERROR(K44/E44),"n/a",K44/E44)</f>
        <v>n/a</v>
      </c>
    </row>
    <row r="45" spans="1:12" ht="14">
      <c r="D45" s="339" t="s">
        <v>422</v>
      </c>
      <c r="E45" s="6">
        <f>SUM(E43:E44)</f>
        <v>0</v>
      </c>
      <c r="F45" s="32">
        <f>SUM(F43:F44)</f>
        <v>0</v>
      </c>
      <c r="G45" s="61" t="str">
        <f>IF(ISERROR(F45/E45),"n/a",F45/E45)</f>
        <v>n/a</v>
      </c>
      <c r="K45" s="32">
        <f>SUM(K43:K44)</f>
        <v>0</v>
      </c>
      <c r="L45" s="61" t="str">
        <f>IF(ISERROR(K45/E45),"n/a",K45/E45)</f>
        <v>n/a</v>
      </c>
    </row>
    <row r="46" spans="1:12" ht="5" customHeight="1">
      <c r="D46" s="339"/>
    </row>
    <row r="47" spans="1:12">
      <c r="D47" s="97" t="s">
        <v>424</v>
      </c>
      <c r="E47" s="6">
        <f>SUM(E40,E45)</f>
        <v>102916.13766523192</v>
      </c>
      <c r="F47" s="32">
        <f>SUM(F40,F45)</f>
        <v>8220.4267134205347</v>
      </c>
      <c r="G47" s="61">
        <f>IF(ISERROR(F47/E47),"n/a",F47/E47)</f>
        <v>7.9875002112497998E-2</v>
      </c>
      <c r="K47" s="32">
        <f>SUM(K40,K45)</f>
        <v>10370.703881011268</v>
      </c>
      <c r="L47" s="61">
        <f>IF(ISERROR(K47/E47),"n/a",K47/E47)</f>
        <v>0.10076849089251039</v>
      </c>
    </row>
    <row r="48" spans="1:12">
      <c r="D48" s="339"/>
      <c r="E48" s="6"/>
      <c r="F48" s="32"/>
      <c r="G48" s="61"/>
      <c r="K48" s="32"/>
      <c r="L48" s="61"/>
    </row>
    <row r="49" spans="1:12">
      <c r="D49" s="263" t="s">
        <v>469</v>
      </c>
      <c r="E49" s="265">
        <f>SUM(E8:E10,E23:E25)</f>
        <v>17520.109487867758</v>
      </c>
      <c r="F49" s="352">
        <f>SUM(F8:F10,F23:F25)</f>
        <v>1399.4187823546335</v>
      </c>
      <c r="G49" s="353">
        <f>IF(ISERROR(F49/E49),"n/a",F49/E49)</f>
        <v>7.9875002112498011E-2</v>
      </c>
      <c r="H49" s="264"/>
      <c r="I49" s="354">
        <v>1.2615773174013249</v>
      </c>
      <c r="J49" s="264"/>
      <c r="K49" s="352">
        <f>F49*I49</f>
        <v>1765.4749933639871</v>
      </c>
      <c r="L49" s="355">
        <f>IF(ISERROR(K49/E49),"n/a",K49/E49)</f>
        <v>0.1007684908925104</v>
      </c>
    </row>
    <row r="50" spans="1:12">
      <c r="D50" s="356" t="s">
        <v>395</v>
      </c>
      <c r="E50" s="10">
        <f>SUM(E15:E16,E30:E31,E36:E37)</f>
        <v>85396.028177364162</v>
      </c>
      <c r="F50" s="131">
        <f>SUM(F15:F16,F30:F31,F36:F37)</f>
        <v>6821.0079310659021</v>
      </c>
      <c r="G50" s="129">
        <f>IF(ISERROR(F50/E50),"n/a",F50/E50)</f>
        <v>7.9875002112498011E-2</v>
      </c>
      <c r="H50" s="204"/>
      <c r="I50" s="338">
        <v>1.2615773174013249</v>
      </c>
      <c r="J50" s="204"/>
      <c r="K50" s="131">
        <f>F50*I50</f>
        <v>8605.228887647283</v>
      </c>
      <c r="L50" s="357">
        <f>IF(ISERROR(K50/E50),"n/a",K50/E50)</f>
        <v>0.10076849089251042</v>
      </c>
    </row>
    <row r="51" spans="1:12" hidden="1">
      <c r="A51" s="17"/>
    </row>
    <row r="52" spans="1:12" hidden="1">
      <c r="A52" s="17"/>
      <c r="D52" s="13" t="s">
        <v>186</v>
      </c>
      <c r="E52" s="105">
        <f>E17-SUM('Table 3.28-REC Volume'!H8:H10,'Table 3.28-REC Volume'!H15:H16)</f>
        <v>0</v>
      </c>
      <c r="F52" s="105">
        <v>0</v>
      </c>
      <c r="J52" s="13" t="s">
        <v>186</v>
      </c>
      <c r="K52" s="105">
        <f>K47/F47-I44</f>
        <v>0</v>
      </c>
      <c r="L52" s="105">
        <f>L47/G47-I44</f>
        <v>0</v>
      </c>
    </row>
    <row r="53" spans="1:12" hidden="1">
      <c r="A53" s="17"/>
      <c r="E53" s="105">
        <f>E32-SUM('Table 3.28-REC Volume'!H23:H25,'Table 3.28-REC Volume'!H30:H31)</f>
        <v>0</v>
      </c>
      <c r="F53" s="105">
        <v>0</v>
      </c>
    </row>
    <row r="54" spans="1:12" hidden="1">
      <c r="E54" s="105">
        <f>E38-SUM('Table 3.28-REC Volume'!H36:H37)</f>
        <v>0</v>
      </c>
      <c r="F54" s="105">
        <v>0</v>
      </c>
    </row>
    <row r="55" spans="1:12" hidden="1">
      <c r="E55" s="167"/>
      <c r="F55" s="105">
        <v>0</v>
      </c>
    </row>
    <row r="56" spans="1:12" hidden="1">
      <c r="E56" s="167"/>
      <c r="F56" s="167"/>
    </row>
    <row r="57" spans="1:12">
      <c r="A57" s="103"/>
      <c r="B57" s="204"/>
      <c r="C57" s="213"/>
    </row>
    <row r="58" spans="1:12">
      <c r="A58" s="4" t="s">
        <v>230</v>
      </c>
      <c r="C58" s="28"/>
    </row>
    <row r="59" spans="1:12">
      <c r="A59" s="11" t="s">
        <v>692</v>
      </c>
      <c r="C59" s="28"/>
    </row>
    <row r="60" spans="1:12">
      <c r="A60" s="17" t="s">
        <v>803</v>
      </c>
    </row>
    <row r="61" spans="1:12">
      <c r="A61" s="17" t="s">
        <v>801</v>
      </c>
    </row>
    <row r="62" spans="1:12">
      <c r="A62" s="2" t="s">
        <v>409</v>
      </c>
    </row>
    <row r="63" spans="1:12">
      <c r="A63" s="17" t="s">
        <v>7</v>
      </c>
    </row>
    <row r="64" spans="1:12">
      <c r="A64" s="17" t="s">
        <v>649</v>
      </c>
    </row>
    <row r="65" spans="1:1">
      <c r="A65" s="17" t="s">
        <v>8</v>
      </c>
    </row>
    <row r="66" spans="1:1">
      <c r="A66" s="17" t="s">
        <v>650</v>
      </c>
    </row>
    <row r="67" spans="1:1">
      <c r="A67" s="11"/>
    </row>
  </sheetData>
  <phoneticPr fontId="5" type="noConversion"/>
  <printOptions horizontalCentered="1"/>
  <pageMargins left="0.75" right="0.75" top="1" bottom="1" header="0.5" footer="0.5"/>
  <pageSetup scale="62" orientation="landscape" r:id="rId1"/>
  <headerFooter alignWithMargins="0">
    <oddFooter>&amp;L&amp;F</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pageSetUpPr fitToPage="1"/>
  </sheetPr>
  <dimension ref="A1:H60"/>
  <sheetViews>
    <sheetView zoomScale="70" workbookViewId="0"/>
  </sheetViews>
  <sheetFormatPr baseColWidth="10" defaultColWidth="8.83203125" defaultRowHeight="13"/>
  <cols>
    <col min="1" max="1" width="27.1640625" customWidth="1"/>
    <col min="2" max="2" width="9.5" customWidth="1"/>
    <col min="3" max="3" width="25.5" customWidth="1"/>
    <col min="4" max="4" width="18.5" customWidth="1"/>
    <col min="5" max="8" width="11.5" customWidth="1"/>
  </cols>
  <sheetData>
    <row r="1" spans="1:8" ht="16">
      <c r="A1" s="117" t="s">
        <v>702</v>
      </c>
      <c r="B1" s="117"/>
      <c r="C1" s="117"/>
      <c r="D1" s="117"/>
    </row>
    <row r="2" spans="1:8" ht="16">
      <c r="A2" s="117" t="s">
        <v>780</v>
      </c>
      <c r="B2" s="335"/>
      <c r="C2" s="335"/>
      <c r="D2" s="335"/>
    </row>
    <row r="3" spans="1:8" ht="42">
      <c r="A3" s="336" t="s">
        <v>391</v>
      </c>
      <c r="B3" s="337" t="s">
        <v>394</v>
      </c>
      <c r="C3" s="336" t="s">
        <v>392</v>
      </c>
      <c r="D3" s="336" t="s">
        <v>343</v>
      </c>
      <c r="E3" s="125" t="s">
        <v>415</v>
      </c>
      <c r="F3" s="125" t="s">
        <v>416</v>
      </c>
      <c r="G3" s="125" t="s">
        <v>412</v>
      </c>
      <c r="H3" s="125" t="s">
        <v>411</v>
      </c>
    </row>
    <row r="4" spans="1:8">
      <c r="A4" s="17" t="s">
        <v>417</v>
      </c>
      <c r="B4" t="s">
        <v>402</v>
      </c>
      <c r="C4" t="s">
        <v>393</v>
      </c>
      <c r="D4" t="s">
        <v>273</v>
      </c>
      <c r="E4" s="6">
        <v>241074.78748552178</v>
      </c>
      <c r="F4" s="161">
        <v>0.92678173754331294</v>
      </c>
      <c r="G4" s="6">
        <f>E4*F4</f>
        <v>223423.71042371678</v>
      </c>
      <c r="H4" s="6">
        <f>E4*(1-F4)</f>
        <v>17651.07706180499</v>
      </c>
    </row>
    <row r="5" spans="1:8">
      <c r="D5" t="s">
        <v>368</v>
      </c>
      <c r="E5" s="6">
        <v>163139.80616903069</v>
      </c>
      <c r="F5" s="161">
        <v>0.92678173754331294</v>
      </c>
      <c r="G5" s="6">
        <f>E5*F5</f>
        <v>151194.99302381356</v>
      </c>
      <c r="H5" s="6">
        <f>E5*(1-F5)</f>
        <v>11944.813145217144</v>
      </c>
    </row>
    <row r="6" spans="1:8">
      <c r="D6" t="s">
        <v>274</v>
      </c>
      <c r="E6" s="6">
        <v>6865.281158465802</v>
      </c>
      <c r="F6" s="161">
        <v>0.92678173754331294</v>
      </c>
      <c r="G6" s="6">
        <f>E6*F6</f>
        <v>6362.6172007663044</v>
      </c>
      <c r="H6" s="6">
        <f>E6*(1-F6)</f>
        <v>502.66395769949764</v>
      </c>
    </row>
    <row r="7" spans="1:8">
      <c r="E7" s="6"/>
      <c r="G7" s="6"/>
      <c r="H7" s="6"/>
    </row>
    <row r="8" spans="1:8">
      <c r="B8" t="s">
        <v>403</v>
      </c>
      <c r="C8" t="s">
        <v>393</v>
      </c>
      <c r="D8" t="s">
        <v>273</v>
      </c>
      <c r="E8" s="6">
        <v>71452.797668732455</v>
      </c>
      <c r="F8" s="161">
        <v>0.92678173754331294</v>
      </c>
      <c r="G8" s="6">
        <f>E8*F8</f>
        <v>66221.147975758649</v>
      </c>
      <c r="H8" s="6">
        <f>E8*(1-F8)</f>
        <v>5231.6496929738096</v>
      </c>
    </row>
    <row r="9" spans="1:8">
      <c r="D9" t="s">
        <v>368</v>
      </c>
      <c r="E9" s="6">
        <v>3948.05708974441</v>
      </c>
      <c r="F9" s="161">
        <v>0.92678173754331294</v>
      </c>
      <c r="G9" s="6">
        <f>E9*F9</f>
        <v>3658.9872095535197</v>
      </c>
      <c r="H9" s="6">
        <f>E9*(1-F9)</f>
        <v>289.06988019089027</v>
      </c>
    </row>
    <row r="10" spans="1:8">
      <c r="D10" t="s">
        <v>274</v>
      </c>
      <c r="E10" s="6">
        <v>94962.942532265675</v>
      </c>
      <c r="F10" s="161">
        <v>0.92678173754331294</v>
      </c>
      <c r="G10" s="6">
        <f>E10*F10</f>
        <v>88009.920882278951</v>
      </c>
      <c r="H10" s="6">
        <f>E10*(1-F10)</f>
        <v>6953.0216499867183</v>
      </c>
    </row>
    <row r="11" spans="1:8">
      <c r="E11" s="6"/>
      <c r="G11" s="6"/>
      <c r="H11" s="6"/>
    </row>
    <row r="12" spans="1:8">
      <c r="B12" t="s">
        <v>402</v>
      </c>
      <c r="C12" s="11" t="s">
        <v>44</v>
      </c>
      <c r="D12" t="s">
        <v>368</v>
      </c>
      <c r="E12" s="6">
        <v>16682.441034584452</v>
      </c>
      <c r="F12" s="161">
        <v>0.92678173754331294</v>
      </c>
      <c r="G12" s="6">
        <f>E12*F12</f>
        <v>15460.981688496042</v>
      </c>
      <c r="H12" s="6">
        <f>E12*(1-F12)</f>
        <v>1221.4593460884103</v>
      </c>
    </row>
    <row r="13" spans="1:8">
      <c r="C13" s="11" t="s">
        <v>653</v>
      </c>
      <c r="D13" t="s">
        <v>274</v>
      </c>
      <c r="E13" s="6">
        <v>273939.25789211283</v>
      </c>
      <c r="F13" s="161">
        <v>0.92678173754331294</v>
      </c>
      <c r="G13" s="6">
        <f>E13*F13</f>
        <v>253881.90141057802</v>
      </c>
      <c r="H13" s="6">
        <f>E13*(1-F13)</f>
        <v>20057.356481534796</v>
      </c>
    </row>
    <row r="14" spans="1:8">
      <c r="E14" s="6"/>
      <c r="F14" s="161"/>
      <c r="G14" s="6"/>
      <c r="H14" s="6"/>
    </row>
    <row r="15" spans="1:8">
      <c r="B15" t="s">
        <v>395</v>
      </c>
      <c r="C15" s="11" t="s">
        <v>44</v>
      </c>
      <c r="D15" t="s">
        <v>368</v>
      </c>
      <c r="E15" s="6">
        <v>3789.7460261482211</v>
      </c>
      <c r="F15" s="161">
        <v>0.92678173754331294</v>
      </c>
      <c r="G15" s="6">
        <f>E15*F15</f>
        <v>3512.2674069615136</v>
      </c>
      <c r="H15" s="6">
        <f>E15*(1-F15)</f>
        <v>277.47861918670725</v>
      </c>
    </row>
    <row r="16" spans="1:8">
      <c r="B16" s="204"/>
      <c r="C16" s="238" t="s">
        <v>44</v>
      </c>
      <c r="D16" s="204" t="s">
        <v>274</v>
      </c>
      <c r="E16" s="10">
        <v>28778.165578609609</v>
      </c>
      <c r="F16" s="340">
        <v>0.92678173754331294</v>
      </c>
      <c r="G16" s="10">
        <f>E16*F16</f>
        <v>26671.078298252974</v>
      </c>
      <c r="H16" s="10">
        <f>E16*(1-F16)</f>
        <v>2107.0872803566358</v>
      </c>
    </row>
    <row r="17" spans="1:8">
      <c r="D17" s="339" t="s">
        <v>401</v>
      </c>
      <c r="E17" s="6">
        <f>SUM(E4:E16)</f>
        <v>904633.28263521579</v>
      </c>
      <c r="G17" s="6">
        <f>SUM(G4:G16)</f>
        <v>838397.60552017647</v>
      </c>
      <c r="H17" s="6">
        <f>SUM(H4:H16)</f>
        <v>66235.677115039594</v>
      </c>
    </row>
    <row r="18" spans="1:8" ht="5" customHeight="1"/>
    <row r="19" spans="1:8">
      <c r="A19" s="17" t="s">
        <v>418</v>
      </c>
      <c r="B19" t="s">
        <v>402</v>
      </c>
      <c r="C19" t="s">
        <v>393</v>
      </c>
      <c r="D19" t="s">
        <v>273</v>
      </c>
      <c r="E19" s="6">
        <v>46364.099603805327</v>
      </c>
      <c r="F19" s="161">
        <v>0.8459819603734815</v>
      </c>
      <c r="G19" s="6">
        <f>E19*F19</f>
        <v>39223.191873778589</v>
      </c>
      <c r="H19" s="6">
        <f>E19*(1-F19)</f>
        <v>7140.90773002674</v>
      </c>
    </row>
    <row r="20" spans="1:8">
      <c r="D20" t="s">
        <v>368</v>
      </c>
      <c r="E20" s="6">
        <v>31375.451167910687</v>
      </c>
      <c r="F20" s="161">
        <v>0.8459819603734815</v>
      </c>
      <c r="G20" s="6">
        <f>E20*F20</f>
        <v>26543.065686631522</v>
      </c>
      <c r="H20" s="6">
        <f>E20*(1-F20)</f>
        <v>4832.3854812791642</v>
      </c>
    </row>
    <row r="21" spans="1:8">
      <c r="D21" t="s">
        <v>274</v>
      </c>
      <c r="E21" s="6">
        <v>1320.347858684114</v>
      </c>
      <c r="F21" s="161">
        <v>0.8459819603734815</v>
      </c>
      <c r="G21" s="6">
        <f>E21*F21</f>
        <v>1116.9904698645153</v>
      </c>
      <c r="H21" s="6">
        <f>E21*(1-F21)</f>
        <v>203.35738881959873</v>
      </c>
    </row>
    <row r="22" spans="1:8">
      <c r="E22" s="6"/>
      <c r="F22" s="6"/>
      <c r="G22" s="6"/>
      <c r="H22" s="6"/>
    </row>
    <row r="23" spans="1:8">
      <c r="B23" t="s">
        <v>403</v>
      </c>
      <c r="C23" t="s">
        <v>393</v>
      </c>
      <c r="D23" t="s">
        <v>273</v>
      </c>
      <c r="E23" s="6">
        <v>13741.978838341282</v>
      </c>
      <c r="F23" s="161">
        <v>0.8459819603734815</v>
      </c>
      <c r="G23" s="6">
        <f>E23*F23</f>
        <v>11625.466197070855</v>
      </c>
      <c r="H23" s="6">
        <f>E23*(1-F23)</f>
        <v>2116.5126412704262</v>
      </c>
    </row>
    <row r="24" spans="1:8">
      <c r="D24" t="s">
        <v>368</v>
      </c>
      <c r="E24" s="6">
        <v>759.30010790287633</v>
      </c>
      <c r="F24" s="161">
        <v>0.8459819603734815</v>
      </c>
      <c r="G24" s="6">
        <f>E24*F24</f>
        <v>642.35419379547136</v>
      </c>
      <c r="H24" s="6">
        <f>E24*(1-F24)</f>
        <v>116.94591410740497</v>
      </c>
    </row>
    <row r="25" spans="1:8">
      <c r="D25" t="s">
        <v>274</v>
      </c>
      <c r="E25" s="6">
        <v>18263.508068013263</v>
      </c>
      <c r="F25" s="161">
        <v>0.8459819603734815</v>
      </c>
      <c r="G25" s="6">
        <f>E25*F25</f>
        <v>15450.598358674757</v>
      </c>
      <c r="H25" s="6">
        <f>E25*(1-F25)</f>
        <v>2812.9097093385071</v>
      </c>
    </row>
    <row r="26" spans="1:8">
      <c r="E26" s="6"/>
      <c r="F26" s="6"/>
      <c r="G26" s="6"/>
      <c r="H26" s="6"/>
    </row>
    <row r="27" spans="1:8">
      <c r="B27" t="s">
        <v>402</v>
      </c>
      <c r="C27" s="11" t="s">
        <v>44</v>
      </c>
      <c r="D27" t="s">
        <v>368</v>
      </c>
      <c r="E27" s="6">
        <v>3208.4083359755523</v>
      </c>
      <c r="F27" s="161">
        <v>0.8459819603734815</v>
      </c>
      <c r="G27" s="6">
        <f>E27*F27</f>
        <v>2714.2555737472176</v>
      </c>
      <c r="H27" s="6">
        <f>E27*(1-F27)</f>
        <v>494.15276222833489</v>
      </c>
    </row>
    <row r="28" spans="1:8">
      <c r="C28" s="11" t="s">
        <v>654</v>
      </c>
      <c r="D28" t="s">
        <v>274</v>
      </c>
      <c r="E28" s="6">
        <v>0</v>
      </c>
      <c r="F28" s="161">
        <v>0.8459819603734815</v>
      </c>
      <c r="G28" s="6">
        <f>E28*F28</f>
        <v>0</v>
      </c>
      <c r="H28" s="6">
        <f>E28*(1-F28)</f>
        <v>0</v>
      </c>
    </row>
    <row r="29" spans="1:8">
      <c r="E29" s="6"/>
      <c r="F29" s="161"/>
      <c r="G29" s="6"/>
      <c r="H29" s="6"/>
    </row>
    <row r="30" spans="1:8">
      <c r="B30" t="s">
        <v>395</v>
      </c>
      <c r="C30" s="11" t="s">
        <v>44</v>
      </c>
      <c r="D30" t="s">
        <v>368</v>
      </c>
      <c r="E30" s="6">
        <v>728.85333245399681</v>
      </c>
      <c r="F30" s="161">
        <v>0.8459819603734815</v>
      </c>
      <c r="G30" s="6">
        <f>E30*F30</f>
        <v>616.59677101417708</v>
      </c>
      <c r="H30" s="6">
        <f>E30*(1-F30)</f>
        <v>112.25656143981975</v>
      </c>
    </row>
    <row r="31" spans="1:8">
      <c r="B31" s="204"/>
      <c r="C31" s="238" t="s">
        <v>44</v>
      </c>
      <c r="D31" s="204" t="s">
        <v>274</v>
      </c>
      <c r="E31" s="10">
        <v>5534.688007892948</v>
      </c>
      <c r="F31" s="340">
        <v>0.8459819603734815</v>
      </c>
      <c r="G31" s="10">
        <f>E31*F31</f>
        <v>4682.2462109728749</v>
      </c>
      <c r="H31" s="10">
        <f>E31*(1-F31)</f>
        <v>852.44179692007276</v>
      </c>
    </row>
    <row r="32" spans="1:8">
      <c r="D32" s="339" t="s">
        <v>400</v>
      </c>
      <c r="E32" s="6">
        <f>SUM(E19:E31)</f>
        <v>121296.63532098006</v>
      </c>
      <c r="F32" s="6"/>
      <c r="G32" s="6">
        <f>SUM(G19:G31)</f>
        <v>102614.76533554998</v>
      </c>
      <c r="H32" s="6">
        <f>SUM(H19:H31)</f>
        <v>18681.869985430068</v>
      </c>
    </row>
    <row r="33" spans="1:8" ht="5" customHeight="1"/>
    <row r="34" spans="1:8">
      <c r="A34" s="17" t="s">
        <v>419</v>
      </c>
      <c r="B34" t="s">
        <v>402</v>
      </c>
      <c r="C34" s="11" t="s">
        <v>404</v>
      </c>
      <c r="D34" t="s">
        <v>368</v>
      </c>
      <c r="E34" s="6">
        <v>755571.32583370048</v>
      </c>
      <c r="F34" s="161">
        <v>0.8459819603734815</v>
      </c>
      <c r="G34" s="6">
        <f>E34*F34</f>
        <v>639199.71143078443</v>
      </c>
      <c r="H34" s="6">
        <f>E34*(1-F34)</f>
        <v>116371.61440291601</v>
      </c>
    </row>
    <row r="35" spans="1:8">
      <c r="E35" s="6"/>
      <c r="F35" s="6"/>
      <c r="G35" s="6"/>
      <c r="H35" s="6"/>
    </row>
    <row r="36" spans="1:8">
      <c r="B36" t="s">
        <v>395</v>
      </c>
      <c r="C36" t="s">
        <v>404</v>
      </c>
      <c r="D36" t="s">
        <v>368</v>
      </c>
      <c r="E36" s="6">
        <v>128391.96661011728</v>
      </c>
      <c r="F36" s="161">
        <v>0.8459819603734815</v>
      </c>
      <c r="G36" s="6">
        <f>E36*F36</f>
        <v>108617.28760903359</v>
      </c>
      <c r="H36" s="6">
        <f>E36*(1-F36)</f>
        <v>19774.679001083681</v>
      </c>
    </row>
    <row r="37" spans="1:8">
      <c r="B37" s="204"/>
      <c r="C37" s="204"/>
      <c r="D37" s="204" t="s">
        <v>274</v>
      </c>
      <c r="E37" s="10">
        <v>404316.82593404059</v>
      </c>
      <c r="F37" s="340">
        <v>0.8459819603734815</v>
      </c>
      <c r="G37" s="10">
        <f>E37*F37</f>
        <v>342044.74101566337</v>
      </c>
      <c r="H37" s="10">
        <f>E37*(1-F37)</f>
        <v>62272.084918377244</v>
      </c>
    </row>
    <row r="38" spans="1:8">
      <c r="D38" s="339" t="s">
        <v>408</v>
      </c>
      <c r="E38" s="6">
        <f>SUM(E34:E37)</f>
        <v>1288280.1183778583</v>
      </c>
      <c r="F38" s="6"/>
      <c r="G38" s="6">
        <f>SUM(G34:G37)</f>
        <v>1089861.7400554814</v>
      </c>
      <c r="H38" s="6">
        <f>SUM(H34:H37)</f>
        <v>198418.37832237693</v>
      </c>
    </row>
    <row r="39" spans="1:8" ht="5" customHeight="1">
      <c r="D39" s="339"/>
      <c r="E39" s="6"/>
      <c r="F39" s="6"/>
      <c r="G39" s="6"/>
      <c r="H39" s="6"/>
    </row>
    <row r="40" spans="1:8">
      <c r="D40" s="339" t="s">
        <v>423</v>
      </c>
      <c r="E40" s="6">
        <f>SUM(E17,E32,E38)</f>
        <v>2314210.0363340541</v>
      </c>
      <c r="F40" s="6"/>
      <c r="G40" s="6">
        <f>SUM(G17,G32,G38)</f>
        <v>2030874.1109112077</v>
      </c>
      <c r="H40" s="6">
        <f>SUM(H17,H32,H38)</f>
        <v>283335.92542284657</v>
      </c>
    </row>
    <row r="41" spans="1:8" ht="5" customHeight="1">
      <c r="D41" s="339"/>
      <c r="E41" s="6"/>
      <c r="F41" s="6"/>
      <c r="G41" s="6"/>
      <c r="H41" s="6"/>
    </row>
    <row r="42" spans="1:8">
      <c r="D42" s="11" t="s">
        <v>413</v>
      </c>
      <c r="E42" s="6"/>
      <c r="F42" s="6"/>
      <c r="G42" s="6"/>
      <c r="H42" s="6"/>
    </row>
    <row r="43" spans="1:8">
      <c r="D43" s="13" t="s">
        <v>420</v>
      </c>
      <c r="E43" s="6"/>
      <c r="F43" s="6"/>
      <c r="G43" s="6"/>
      <c r="H43" s="6">
        <v>25963.542000000001</v>
      </c>
    </row>
    <row r="44" spans="1:8">
      <c r="D44" s="343" t="s">
        <v>421</v>
      </c>
      <c r="E44" s="10"/>
      <c r="F44" s="10"/>
      <c r="G44" s="10"/>
      <c r="H44" s="10">
        <v>9981.9505179573389</v>
      </c>
    </row>
    <row r="45" spans="1:8">
      <c r="D45" s="339" t="s">
        <v>422</v>
      </c>
      <c r="E45" s="6"/>
      <c r="F45" s="6"/>
      <c r="G45" s="6"/>
      <c r="H45" s="6">
        <f>SUM(H43:H44)</f>
        <v>35945.49251795734</v>
      </c>
    </row>
    <row r="46" spans="1:8" ht="5" customHeight="1">
      <c r="D46" s="339"/>
      <c r="E46" s="6"/>
      <c r="F46" s="6"/>
      <c r="G46" s="6"/>
      <c r="H46" s="6"/>
    </row>
    <row r="47" spans="1:8">
      <c r="D47" s="97" t="s">
        <v>424</v>
      </c>
      <c r="E47" s="6">
        <f>E40+E45</f>
        <v>2314210.0363340541</v>
      </c>
      <c r="F47" s="6"/>
      <c r="G47" s="6">
        <f>G40+G45</f>
        <v>2030874.1109112077</v>
      </c>
      <c r="H47" s="6">
        <f>H40+H45</f>
        <v>319281.41794080392</v>
      </c>
    </row>
    <row r="48" spans="1:8" hidden="1">
      <c r="D48" s="339"/>
      <c r="E48" s="6"/>
      <c r="F48" s="6"/>
      <c r="G48" s="6"/>
      <c r="H48" s="6"/>
    </row>
    <row r="49" spans="1:8" hidden="1">
      <c r="D49" s="339" t="s">
        <v>186</v>
      </c>
      <c r="E49" s="105">
        <v>0</v>
      </c>
      <c r="F49" s="167"/>
      <c r="G49" s="105">
        <v>0</v>
      </c>
      <c r="H49" s="105">
        <v>0</v>
      </c>
    </row>
    <row r="50" spans="1:8" hidden="1">
      <c r="D50" s="339"/>
      <c r="E50" s="105">
        <v>0</v>
      </c>
      <c r="F50" s="167"/>
      <c r="G50" s="105">
        <v>0</v>
      </c>
      <c r="H50" s="105">
        <v>0</v>
      </c>
    </row>
    <row r="51" spans="1:8" hidden="1">
      <c r="D51" s="339"/>
      <c r="E51" s="105">
        <v>0</v>
      </c>
      <c r="F51" s="167"/>
      <c r="G51" s="105">
        <v>0</v>
      </c>
      <c r="H51" s="105">
        <v>0</v>
      </c>
    </row>
    <row r="52" spans="1:8" hidden="1">
      <c r="D52" s="339"/>
      <c r="E52" s="6"/>
      <c r="F52" s="6"/>
      <c r="G52" s="6"/>
      <c r="H52" s="105">
        <v>0</v>
      </c>
    </row>
    <row r="53" spans="1:8">
      <c r="A53" s="103"/>
      <c r="B53" s="204"/>
      <c r="C53" s="213"/>
      <c r="D53" s="213"/>
      <c r="E53" s="213"/>
      <c r="F53" s="28"/>
      <c r="G53" s="28"/>
      <c r="H53" s="28"/>
    </row>
    <row r="54" spans="1:8">
      <c r="A54" s="4" t="s">
        <v>230</v>
      </c>
      <c r="C54" s="28"/>
      <c r="D54" s="28"/>
      <c r="E54" s="28"/>
      <c r="F54" s="28"/>
      <c r="G54" s="28"/>
      <c r="H54" s="28"/>
    </row>
    <row r="55" spans="1:8">
      <c r="A55" s="17" t="s">
        <v>804</v>
      </c>
      <c r="C55" s="28"/>
      <c r="D55" s="28"/>
      <c r="E55" s="28"/>
      <c r="F55" s="28"/>
      <c r="G55" s="28"/>
      <c r="H55" s="28"/>
    </row>
    <row r="56" spans="1:8">
      <c r="A56" s="17" t="s">
        <v>425</v>
      </c>
    </row>
    <row r="57" spans="1:8">
      <c r="A57" s="17" t="s">
        <v>45</v>
      </c>
    </row>
    <row r="58" spans="1:8">
      <c r="A58" s="17" t="s">
        <v>652</v>
      </c>
    </row>
    <row r="59" spans="1:8">
      <c r="A59" s="17" t="s">
        <v>34</v>
      </c>
    </row>
    <row r="60" spans="1:8">
      <c r="A60" s="17" t="s">
        <v>655</v>
      </c>
    </row>
  </sheetData>
  <phoneticPr fontId="5" type="noConversion"/>
  <printOptions horizontalCentered="1"/>
  <pageMargins left="0.75" right="0.75" top="1" bottom="1" header="0.5" footer="0.5"/>
  <pageSetup scale="69" orientation="landscape" r:id="rId1"/>
  <headerFooter alignWithMargins="0">
    <oddFooter>&amp;L&amp;F</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P35"/>
  <sheetViews>
    <sheetView zoomScale="70" workbookViewId="0"/>
  </sheetViews>
  <sheetFormatPr baseColWidth="10" defaultColWidth="9.1640625" defaultRowHeight="13"/>
  <cols>
    <col min="1" max="1" width="27.83203125" style="4" customWidth="1"/>
    <col min="2" max="7" width="11.5" style="4" customWidth="1"/>
    <col min="8" max="8" width="9.5" style="4" customWidth="1"/>
    <col min="9" max="10" width="10.1640625" style="4" customWidth="1"/>
    <col min="11" max="11" width="10.5" style="4" bestFit="1" customWidth="1"/>
    <col min="12" max="12" width="9.1640625" style="4"/>
    <col min="13" max="14" width="10.5" style="4" bestFit="1" customWidth="1"/>
    <col min="15" max="15" width="9.1640625" style="4"/>
    <col min="16" max="16" width="11.5" style="4" bestFit="1" customWidth="1"/>
    <col min="17" max="16384" width="9.1640625" style="4"/>
  </cols>
  <sheetData>
    <row r="1" spans="1:16" s="2" customFormat="1" ht="16">
      <c r="A1" s="117" t="s">
        <v>703</v>
      </c>
    </row>
    <row r="2" spans="1:16" s="2" customFormat="1" ht="16">
      <c r="A2" s="117" t="s">
        <v>780</v>
      </c>
    </row>
    <row r="3" spans="1:16">
      <c r="B3" s="78" t="s">
        <v>162</v>
      </c>
      <c r="C3" s="78"/>
      <c r="D3" s="77"/>
      <c r="E3" s="77"/>
      <c r="F3" s="77"/>
      <c r="G3" s="77"/>
      <c r="H3" s="38"/>
      <c r="I3" s="38"/>
      <c r="J3" s="38"/>
      <c r="K3" s="38"/>
    </row>
    <row r="4" spans="1:16">
      <c r="B4" s="164" t="s">
        <v>142</v>
      </c>
      <c r="C4" s="333"/>
      <c r="D4" s="12"/>
      <c r="E4" s="164" t="s">
        <v>144</v>
      </c>
      <c r="F4" s="165"/>
      <c r="G4" s="12"/>
      <c r="H4" s="2"/>
      <c r="I4" s="2"/>
      <c r="J4" s="38"/>
      <c r="K4" s="38"/>
    </row>
    <row r="5" spans="1:16">
      <c r="B5" s="133" t="s">
        <v>223</v>
      </c>
      <c r="C5" s="163" t="s">
        <v>224</v>
      </c>
      <c r="D5" s="76" t="s">
        <v>143</v>
      </c>
      <c r="E5" s="133" t="s">
        <v>223</v>
      </c>
      <c r="F5" s="163" t="s">
        <v>224</v>
      </c>
      <c r="G5" s="76" t="s">
        <v>97</v>
      </c>
      <c r="I5" s="38"/>
      <c r="J5" s="38"/>
      <c r="K5" s="38"/>
    </row>
    <row r="6" spans="1:16">
      <c r="A6" s="66" t="s">
        <v>273</v>
      </c>
      <c r="B6" s="88">
        <f t="shared" ref="B6:G7" si="0">(B17+$B12)*$B$9</f>
        <v>0.15349404683721027</v>
      </c>
      <c r="C6" s="88">
        <f>(C17+$B12)*$B$9</f>
        <v>0.25178227867511022</v>
      </c>
      <c r="D6" s="88">
        <f t="shared" si="0"/>
        <v>0.45745754831558155</v>
      </c>
      <c r="E6" s="88">
        <f t="shared" si="0"/>
        <v>3.4303857512917957</v>
      </c>
      <c r="F6" s="88">
        <f t="shared" si="0"/>
        <v>3.5565692201157124</v>
      </c>
      <c r="G6" s="88">
        <f t="shared" si="0"/>
        <v>0.19697333405549536</v>
      </c>
      <c r="H6"/>
      <c r="I6" s="150"/>
      <c r="J6" s="24"/>
      <c r="K6" s="64"/>
      <c r="L6" s="64"/>
      <c r="M6" s="366"/>
      <c r="N6" s="366"/>
      <c r="O6" s="24"/>
      <c r="P6" s="24"/>
    </row>
    <row r="7" spans="1:16">
      <c r="A7" s="18" t="s">
        <v>368</v>
      </c>
      <c r="B7" s="88">
        <f t="shared" si="0"/>
        <v>0.15349404683721027</v>
      </c>
      <c r="C7" s="88">
        <f>(C18+$B13)*$B$9</f>
        <v>0.25178227867511016</v>
      </c>
      <c r="D7" s="88">
        <f t="shared" si="0"/>
        <v>0.45745754831558166</v>
      </c>
      <c r="E7" s="88"/>
      <c r="F7" s="88">
        <f t="shared" si="0"/>
        <v>3.5565692201157124</v>
      </c>
      <c r="G7" s="88">
        <f t="shared" si="0"/>
        <v>0.20310817114654875</v>
      </c>
      <c r="H7"/>
      <c r="I7" s="150"/>
      <c r="J7" s="24"/>
      <c r="K7" s="64"/>
      <c r="L7" s="64"/>
      <c r="M7" s="366"/>
      <c r="N7" s="366"/>
      <c r="O7" s="24"/>
    </row>
    <row r="8" spans="1:16">
      <c r="A8" s="18"/>
      <c r="B8" s="21"/>
      <c r="C8" s="21"/>
      <c r="D8" s="21"/>
      <c r="E8" s="21"/>
      <c r="F8" s="21"/>
      <c r="G8" s="85"/>
      <c r="H8" s="38"/>
      <c r="I8" s="38"/>
    </row>
    <row r="9" spans="1:16" ht="13.5" customHeight="1">
      <c r="A9" s="237" t="s">
        <v>187</v>
      </c>
      <c r="B9" s="147">
        <v>1.7055951497654467</v>
      </c>
      <c r="C9" s="214" t="s">
        <v>233</v>
      </c>
      <c r="E9" s="21"/>
      <c r="F9" s="21"/>
      <c r="G9" s="85"/>
      <c r="H9" s="38"/>
      <c r="I9" s="38"/>
      <c r="J9" s="38"/>
      <c r="K9" s="38"/>
    </row>
    <row r="10" spans="1:16">
      <c r="A10" s="18"/>
      <c r="B10" s="21"/>
      <c r="C10" s="21"/>
      <c r="E10" s="21"/>
      <c r="F10" s="21"/>
      <c r="G10" s="85"/>
      <c r="H10" s="38"/>
      <c r="I10" s="38"/>
      <c r="J10" s="38"/>
      <c r="K10" s="38"/>
    </row>
    <row r="11" spans="1:16">
      <c r="A11" s="14" t="s">
        <v>180</v>
      </c>
      <c r="B11" s="148"/>
      <c r="C11" s="148"/>
      <c r="E11" s="148"/>
      <c r="F11" s="148"/>
      <c r="G11" s="20"/>
      <c r="H11" s="38"/>
      <c r="I11" s="38"/>
      <c r="J11" s="38"/>
    </row>
    <row r="12" spans="1:16">
      <c r="A12" s="66" t="s">
        <v>273</v>
      </c>
      <c r="B12" s="88">
        <v>6.5695509190911952E-2</v>
      </c>
      <c r="C12" s="214" t="s">
        <v>234</v>
      </c>
      <c r="E12" s="148"/>
      <c r="F12" s="148"/>
      <c r="G12" s="20"/>
      <c r="H12" s="38"/>
      <c r="I12" s="38"/>
      <c r="J12" s="38"/>
    </row>
    <row r="13" spans="1:16">
      <c r="A13" s="18" t="s">
        <v>368</v>
      </c>
      <c r="B13" s="88">
        <v>6.5695509190911952E-2</v>
      </c>
      <c r="C13" s="214" t="s">
        <v>234</v>
      </c>
      <c r="E13" s="148"/>
      <c r="F13" s="148"/>
      <c r="G13" s="20"/>
      <c r="H13" s="38"/>
      <c r="I13" s="38"/>
      <c r="J13" s="38"/>
    </row>
    <row r="14" spans="1:16">
      <c r="B14" s="148"/>
      <c r="C14" s="148"/>
      <c r="D14" s="148"/>
      <c r="E14" s="148"/>
      <c r="F14" s="148"/>
      <c r="G14" s="20"/>
      <c r="H14" s="38"/>
      <c r="I14" s="38"/>
      <c r="J14" s="38"/>
    </row>
    <row r="15" spans="1:16">
      <c r="A15" s="14" t="s">
        <v>369</v>
      </c>
      <c r="B15" s="164" t="s">
        <v>142</v>
      </c>
      <c r="C15" s="333"/>
      <c r="D15" s="21"/>
      <c r="E15" s="164" t="s">
        <v>144</v>
      </c>
      <c r="F15" s="165"/>
      <c r="G15" s="13"/>
      <c r="H15"/>
      <c r="I15"/>
      <c r="J15" s="78"/>
    </row>
    <row r="16" spans="1:16">
      <c r="A16" s="4" t="s">
        <v>161</v>
      </c>
      <c r="B16" s="133" t="s">
        <v>223</v>
      </c>
      <c r="C16" s="163" t="s">
        <v>224</v>
      </c>
      <c r="D16" s="149" t="s">
        <v>143</v>
      </c>
      <c r="E16" s="133" t="s">
        <v>223</v>
      </c>
      <c r="F16" s="163" t="s">
        <v>224</v>
      </c>
      <c r="G16" s="76" t="s">
        <v>97</v>
      </c>
      <c r="H16"/>
      <c r="J16"/>
    </row>
    <row r="17" spans="1:15">
      <c r="A17" s="66" t="s">
        <v>273</v>
      </c>
      <c r="B17" s="88">
        <f t="shared" ref="B17:G18" si="1">IF(B27=0,0,B22/B27)</f>
        <v>2.4298911148708937E-2</v>
      </c>
      <c r="C17" s="88">
        <f>IF(C27=0,0,C22/C27)</f>
        <v>8.1925852601618526E-2</v>
      </c>
      <c r="D17" s="88">
        <f t="shared" si="1"/>
        <v>0.20251441646377294</v>
      </c>
      <c r="E17" s="88">
        <f t="shared" si="1"/>
        <v>1.9455588918101354</v>
      </c>
      <c r="F17" s="88">
        <f t="shared" si="1"/>
        <v>2.0195409671234184</v>
      </c>
      <c r="G17" s="88">
        <f t="shared" si="1"/>
        <v>4.9791061043872736E-2</v>
      </c>
      <c r="H17"/>
      <c r="J17" s="64"/>
      <c r="K17" s="64"/>
      <c r="L17" s="64"/>
      <c r="M17" s="24"/>
      <c r="N17" s="24"/>
      <c r="O17" s="24"/>
    </row>
    <row r="18" spans="1:15">
      <c r="A18" s="18" t="s">
        <v>368</v>
      </c>
      <c r="B18" s="88">
        <f t="shared" si="1"/>
        <v>2.4298911148708944E-2</v>
      </c>
      <c r="C18" s="88">
        <f>IF(C28=0,0,C23/C28)</f>
        <v>8.1925852601618512E-2</v>
      </c>
      <c r="D18" s="88">
        <f t="shared" si="1"/>
        <v>0.20251441646377297</v>
      </c>
      <c r="E18" s="88">
        <f t="shared" si="1"/>
        <v>0</v>
      </c>
      <c r="F18" s="88">
        <f t="shared" si="1"/>
        <v>2.0195409671234184</v>
      </c>
      <c r="G18" s="88">
        <f t="shared" si="1"/>
        <v>5.3387950429901444E-2</v>
      </c>
      <c r="H18"/>
      <c r="J18" s="64"/>
      <c r="K18" s="64"/>
      <c r="L18" s="64"/>
      <c r="M18" s="6"/>
      <c r="N18" s="24"/>
      <c r="O18" s="24"/>
    </row>
    <row r="19" spans="1:15">
      <c r="A19" s="18"/>
      <c r="B19" s="88"/>
      <c r="C19" s="88"/>
      <c r="D19" s="88"/>
      <c r="E19" s="88"/>
      <c r="F19" s="88"/>
      <c r="G19" s="88"/>
      <c r="H19"/>
    </row>
    <row r="20" spans="1:15">
      <c r="B20" s="164" t="s">
        <v>371</v>
      </c>
      <c r="C20" s="333"/>
      <c r="D20" s="21"/>
      <c r="E20" s="164" t="s">
        <v>144</v>
      </c>
      <c r="F20" s="165"/>
      <c r="G20" s="85"/>
      <c r="H20"/>
      <c r="I20"/>
      <c r="J20"/>
      <c r="K20"/>
      <c r="L20"/>
      <c r="M20"/>
      <c r="N20"/>
    </row>
    <row r="21" spans="1:15">
      <c r="A21" s="2" t="s">
        <v>370</v>
      </c>
      <c r="B21" s="133" t="s">
        <v>223</v>
      </c>
      <c r="C21" s="163" t="s">
        <v>224</v>
      </c>
      <c r="D21" s="149" t="s">
        <v>143</v>
      </c>
      <c r="E21" s="133" t="s">
        <v>223</v>
      </c>
      <c r="F21" s="163" t="s">
        <v>224</v>
      </c>
      <c r="G21" s="76" t="s">
        <v>97</v>
      </c>
      <c r="H21"/>
      <c r="I21"/>
      <c r="J21"/>
      <c r="K21"/>
      <c r="L21"/>
      <c r="M21"/>
      <c r="N21"/>
    </row>
    <row r="22" spans="1:15">
      <c r="A22" s="66" t="s">
        <v>273</v>
      </c>
      <c r="B22" s="75">
        <v>9054.5922827468385</v>
      </c>
      <c r="C22" s="75">
        <v>2927.7224472064295</v>
      </c>
      <c r="D22" s="75">
        <v>3595.0924987705653</v>
      </c>
      <c r="E22" s="75">
        <v>1888.6165767934158</v>
      </c>
      <c r="F22" s="75">
        <v>3895.4262596508388</v>
      </c>
      <c r="G22" s="75">
        <f>SUM(B22:F22)</f>
        <v>21361.450065168086</v>
      </c>
      <c r="H22"/>
      <c r="I22"/>
      <c r="J22"/>
      <c r="K22"/>
      <c r="L22"/>
      <c r="M22"/>
      <c r="N22"/>
    </row>
    <row r="23" spans="1:15">
      <c r="A23" s="18" t="s">
        <v>368</v>
      </c>
      <c r="B23" s="75">
        <v>26913.361137060892</v>
      </c>
      <c r="C23" s="75">
        <v>2451.6596518656961</v>
      </c>
      <c r="D23" s="75">
        <v>17065.302373744191</v>
      </c>
      <c r="E23" s="75">
        <v>0</v>
      </c>
      <c r="F23" s="75">
        <v>19308.866614496324</v>
      </c>
      <c r="G23" s="75">
        <f>SUM(B23:F23)</f>
        <v>65739.189777167107</v>
      </c>
      <c r="H23"/>
      <c r="I23"/>
      <c r="J23"/>
      <c r="K23"/>
      <c r="L23"/>
      <c r="M23"/>
      <c r="N23"/>
    </row>
    <row r="24" spans="1:15">
      <c r="A24" s="18"/>
      <c r="B24" s="75"/>
      <c r="C24" s="75"/>
      <c r="D24" s="75"/>
      <c r="E24" s="75"/>
      <c r="F24" s="75"/>
      <c r="G24" s="75"/>
      <c r="H24"/>
      <c r="I24"/>
      <c r="J24"/>
      <c r="K24"/>
      <c r="L24"/>
      <c r="M24"/>
      <c r="N24"/>
    </row>
    <row r="25" spans="1:15">
      <c r="B25" s="164" t="s">
        <v>371</v>
      </c>
      <c r="C25" s="333"/>
      <c r="D25" s="75"/>
      <c r="E25" s="164" t="s">
        <v>144</v>
      </c>
      <c r="F25" s="165"/>
      <c r="G25" s="75"/>
      <c r="H25"/>
      <c r="I25"/>
      <c r="J25"/>
      <c r="K25"/>
      <c r="L25"/>
      <c r="M25"/>
      <c r="N25"/>
    </row>
    <row r="26" spans="1:15">
      <c r="A26" s="17" t="s">
        <v>247</v>
      </c>
      <c r="B26" s="133" t="s">
        <v>223</v>
      </c>
      <c r="C26" s="163" t="s">
        <v>224</v>
      </c>
      <c r="D26" s="149" t="s">
        <v>143</v>
      </c>
      <c r="E26" s="133" t="s">
        <v>223</v>
      </c>
      <c r="F26" s="163" t="s">
        <v>224</v>
      </c>
      <c r="G26" s="76" t="s">
        <v>97</v>
      </c>
      <c r="H26"/>
      <c r="I26"/>
      <c r="J26"/>
      <c r="K26"/>
      <c r="L26"/>
      <c r="M26"/>
      <c r="N26"/>
    </row>
    <row r="27" spans="1:15">
      <c r="A27" s="66" t="s">
        <v>273</v>
      </c>
      <c r="B27" s="75">
        <v>372633.66359640076</v>
      </c>
      <c r="C27" s="75">
        <v>35736.246303631262</v>
      </c>
      <c r="D27" s="75">
        <v>17752.279376187907</v>
      </c>
      <c r="E27" s="75">
        <v>970.73215554850628</v>
      </c>
      <c r="F27" s="75">
        <v>1928.8671648980624</v>
      </c>
      <c r="G27" s="75">
        <f>SUM(B27:F27)</f>
        <v>429021.78859666653</v>
      </c>
      <c r="H27"/>
      <c r="I27"/>
      <c r="J27"/>
      <c r="K27"/>
      <c r="L27"/>
      <c r="M27"/>
      <c r="N27"/>
    </row>
    <row r="28" spans="1:15">
      <c r="A28" s="18" t="s">
        <v>368</v>
      </c>
      <c r="B28" s="75">
        <v>1107595.3557075688</v>
      </c>
      <c r="C28" s="75">
        <v>29925.348031315592</v>
      </c>
      <c r="D28" s="75">
        <v>84267.098963776429</v>
      </c>
      <c r="E28" s="75">
        <v>0</v>
      </c>
      <c r="F28" s="75">
        <v>9561.0175425157977</v>
      </c>
      <c r="G28" s="75">
        <f>SUM(B28:F28)</f>
        <v>1231348.8202451766</v>
      </c>
      <c r="H28"/>
      <c r="I28"/>
      <c r="J28"/>
      <c r="K28"/>
      <c r="L28"/>
      <c r="M28"/>
      <c r="N28"/>
    </row>
    <row r="29" spans="1:15">
      <c r="A29" s="103"/>
      <c r="B29" s="103"/>
      <c r="C29" s="103"/>
      <c r="D29" s="103"/>
      <c r="E29" s="103"/>
      <c r="F29" s="103"/>
    </row>
    <row r="30" spans="1:15">
      <c r="A30" s="4" t="s">
        <v>230</v>
      </c>
      <c r="I30" s="17"/>
    </row>
    <row r="31" spans="1:15" ht="12.5" customHeight="1">
      <c r="A31" s="427" t="s">
        <v>820</v>
      </c>
      <c r="B31" s="428"/>
      <c r="C31" s="428"/>
      <c r="D31" s="428"/>
      <c r="E31" s="428"/>
      <c r="F31" s="428"/>
    </row>
    <row r="32" spans="1:15" ht="12.5" customHeight="1">
      <c r="A32" s="17" t="s">
        <v>788</v>
      </c>
    </row>
    <row r="33" spans="1:3">
      <c r="A33" s="17" t="s">
        <v>805</v>
      </c>
    </row>
    <row r="35" spans="1:3">
      <c r="C35" s="24"/>
    </row>
  </sheetData>
  <mergeCells count="1">
    <mergeCell ref="A31:F31"/>
  </mergeCells>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F46"/>
  <sheetViews>
    <sheetView zoomScale="70" workbookViewId="0">
      <selection activeCell="B28" sqref="B28"/>
    </sheetView>
  </sheetViews>
  <sheetFormatPr baseColWidth="10" defaultColWidth="8.83203125" defaultRowHeight="13"/>
  <cols>
    <col min="1" max="1" width="31.5" bestFit="1" customWidth="1"/>
    <col min="2" max="2" width="11.5" customWidth="1"/>
    <col min="3" max="3" width="3.5" customWidth="1"/>
    <col min="4" max="4" width="11.5" customWidth="1"/>
    <col min="5" max="5" width="3.5" customWidth="1"/>
    <col min="6" max="6" width="11.5" customWidth="1"/>
  </cols>
  <sheetData>
    <row r="1" spans="1:6" ht="16">
      <c r="A1" s="117" t="s">
        <v>704</v>
      </c>
    </row>
    <row r="2" spans="1:6" ht="16">
      <c r="A2" s="117" t="s">
        <v>780</v>
      </c>
    </row>
    <row r="3" spans="1:6" ht="28">
      <c r="A3" s="399" t="s">
        <v>391</v>
      </c>
      <c r="B3" s="125" t="s">
        <v>104</v>
      </c>
      <c r="D3" s="126" t="s">
        <v>99</v>
      </c>
      <c r="F3" s="125" t="s">
        <v>105</v>
      </c>
    </row>
    <row r="4" spans="1:6">
      <c r="A4" s="5" t="s">
        <v>273</v>
      </c>
    </row>
    <row r="5" spans="1:6">
      <c r="A5" s="80" t="s">
        <v>498</v>
      </c>
    </row>
    <row r="6" spans="1:6">
      <c r="A6" s="367" t="s">
        <v>532</v>
      </c>
      <c r="B6" s="6">
        <f>'Table 3.3-PARS Fwd Summary'!B23-B7</f>
        <v>372633.66359640082</v>
      </c>
      <c r="C6" s="11" t="s">
        <v>233</v>
      </c>
      <c r="D6" s="88">
        <f>'Table 3.29-UAA MP Units'!B6</f>
        <v>0.15349404683721027</v>
      </c>
      <c r="E6" s="11" t="s">
        <v>234</v>
      </c>
      <c r="F6" s="108">
        <f>B6*D6</f>
        <v>57197.049013187199</v>
      </c>
    </row>
    <row r="7" spans="1:6">
      <c r="A7" s="400" t="s">
        <v>538</v>
      </c>
      <c r="B7" s="6">
        <f>SUM('Table 3.3-PARS Fwd Summary'!B9,'Table 3.3-PARS Fwd Summary'!B19)</f>
        <v>5674.6243187269156</v>
      </c>
      <c r="C7" s="11" t="s">
        <v>233</v>
      </c>
      <c r="D7" s="88">
        <f>'Table 3.29-UAA MP Units'!C6</f>
        <v>0.25178227867511022</v>
      </c>
      <c r="E7" s="11" t="s">
        <v>234</v>
      </c>
      <c r="F7" s="108">
        <f>B7*D7</f>
        <v>1428.7698415942577</v>
      </c>
    </row>
    <row r="8" spans="1:6">
      <c r="A8" s="367" t="s">
        <v>97</v>
      </c>
      <c r="B8" s="6">
        <f>SUM(B6:B7)</f>
        <v>378308.28791512776</v>
      </c>
      <c r="D8" s="88">
        <f>F8/B8</f>
        <v>0.15496837031477875</v>
      </c>
      <c r="F8" s="81">
        <f>SUM(F6:F7)</f>
        <v>58625.818854781457</v>
      </c>
    </row>
    <row r="9" spans="1:6" ht="5" customHeight="1"/>
    <row r="10" spans="1:6">
      <c r="A10" s="80" t="s">
        <v>483</v>
      </c>
    </row>
    <row r="11" spans="1:6">
      <c r="A11" s="367" t="s">
        <v>532</v>
      </c>
      <c r="B11">
        <v>0</v>
      </c>
      <c r="D11" s="88">
        <f>'Table 3.29-UAA MP Units'!B6</f>
        <v>0.15349404683721027</v>
      </c>
      <c r="E11" s="11" t="s">
        <v>234</v>
      </c>
      <c r="F11" s="108">
        <f>B11*D11</f>
        <v>0</v>
      </c>
    </row>
    <row r="12" spans="1:6">
      <c r="A12" s="367" t="s">
        <v>533</v>
      </c>
      <c r="B12" s="6">
        <f>'Table 3.29-UAA MP Units'!C27-B7</f>
        <v>30061.621984904348</v>
      </c>
      <c r="C12" s="11" t="s">
        <v>235</v>
      </c>
      <c r="D12" s="88">
        <f>'Table 3.29-UAA MP Units'!C6</f>
        <v>0.25178227867511022</v>
      </c>
      <c r="E12" s="11" t="s">
        <v>234</v>
      </c>
      <c r="F12" s="108">
        <f>B12*D12</f>
        <v>7568.9836840290063</v>
      </c>
    </row>
    <row r="13" spans="1:6">
      <c r="A13" s="367" t="s">
        <v>143</v>
      </c>
      <c r="B13" s="6">
        <f>'Table 3.29-UAA MP Units'!D27</f>
        <v>17752.279376187907</v>
      </c>
      <c r="C13" s="11" t="s">
        <v>234</v>
      </c>
      <c r="D13" s="88">
        <f>'Table 3.29-UAA MP Units'!D6</f>
        <v>0.45745754831558155</v>
      </c>
      <c r="E13" s="11" t="s">
        <v>234</v>
      </c>
      <c r="F13" s="108">
        <f>B13*D13</f>
        <v>8120.9142004441819</v>
      </c>
    </row>
    <row r="14" spans="1:6">
      <c r="A14" s="367" t="s">
        <v>534</v>
      </c>
      <c r="B14" s="6">
        <f>'Table 3.29-UAA MP Units'!E27</f>
        <v>970.73215554850628</v>
      </c>
      <c r="C14" s="11" t="s">
        <v>234</v>
      </c>
      <c r="D14" s="88">
        <f>'Table 3.29-UAA MP Units'!E6</f>
        <v>3.4303857512917957</v>
      </c>
      <c r="E14" s="11" t="s">
        <v>234</v>
      </c>
      <c r="F14" s="108">
        <f>B14*D14</f>
        <v>3329.985754714367</v>
      </c>
    </row>
    <row r="15" spans="1:6">
      <c r="A15" s="400" t="s">
        <v>535</v>
      </c>
      <c r="B15" s="6">
        <f>'Table 3.29-UAA MP Units'!F27</f>
        <v>1928.8671648980624</v>
      </c>
      <c r="C15" s="11" t="s">
        <v>234</v>
      </c>
      <c r="D15" s="88">
        <f>'Table 3.29-UAA MP Units'!F6</f>
        <v>3.5565692201157124</v>
      </c>
      <c r="E15" s="11" t="s">
        <v>234</v>
      </c>
      <c r="F15" s="108">
        <f>B15*D15</f>
        <v>6860.1495883683065</v>
      </c>
    </row>
    <row r="16" spans="1:6">
      <c r="A16" s="367" t="s">
        <v>97</v>
      </c>
      <c r="B16" s="6">
        <f>SUM(B11:B15)</f>
        <v>50713.500681538819</v>
      </c>
      <c r="D16" s="88">
        <f>F16/B16</f>
        <v>0.51031841382973075</v>
      </c>
      <c r="F16" s="81">
        <f>SUM(F11:F15)</f>
        <v>25880.033227555861</v>
      </c>
    </row>
    <row r="17" spans="1:6" ht="5" customHeight="1"/>
    <row r="18" spans="1:6">
      <c r="A18" s="401" t="s">
        <v>536</v>
      </c>
      <c r="B18" s="6">
        <f>SUM(B8,B16)</f>
        <v>429021.78859666659</v>
      </c>
      <c r="D18" s="88">
        <f>F18/B18</f>
        <v>0.19697333405549533</v>
      </c>
      <c r="F18" s="81">
        <f>SUM(F8,F16)</f>
        <v>84505.852082337311</v>
      </c>
    </row>
    <row r="20" spans="1:6">
      <c r="A20" s="5" t="s">
        <v>275</v>
      </c>
    </row>
    <row r="21" spans="1:6">
      <c r="A21" s="80" t="s">
        <v>498</v>
      </c>
    </row>
    <row r="22" spans="1:6">
      <c r="A22" s="367" t="s">
        <v>532</v>
      </c>
      <c r="B22" s="6">
        <f>'Table 3.6-PARS RTS Summary'!B62-B23</f>
        <v>1107595.3557075688</v>
      </c>
      <c r="C22" s="11" t="s">
        <v>236</v>
      </c>
      <c r="D22" s="88">
        <f>'Table 3.29-UAA MP Units'!B7</f>
        <v>0.15349404683721027</v>
      </c>
      <c r="E22" s="11" t="s">
        <v>234</v>
      </c>
      <c r="F22" s="108">
        <f>B22*D22</f>
        <v>170009.29340565414</v>
      </c>
    </row>
    <row r="23" spans="1:6">
      <c r="A23" s="400" t="s">
        <v>538</v>
      </c>
      <c r="B23" s="6">
        <f>SUM('Table 3.6-PARS RTS Summary'!B9,'Table 3.6-PARS RTS Summary'!B17,'Table 3.6-PARS RTS Summary'!B27,'Table 3.6-PARS RTS Summary'!B37,'Table 3.6-PARS RTS Summary'!B48,'Table 3.6-PARS RTS Summary'!B58)</f>
        <v>16866.93435087668</v>
      </c>
      <c r="C23" s="11" t="s">
        <v>236</v>
      </c>
      <c r="D23" s="88">
        <f>'Table 3.29-UAA MP Units'!C7</f>
        <v>0.25178227867511016</v>
      </c>
      <c r="E23" s="11" t="s">
        <v>234</v>
      </c>
      <c r="F23" s="108">
        <f>B23*D23</f>
        <v>4246.7951651272206</v>
      </c>
    </row>
    <row r="24" spans="1:6">
      <c r="A24" s="367" t="s">
        <v>97</v>
      </c>
      <c r="B24" s="6">
        <f>SUM(B22:B23)</f>
        <v>1124462.2900584454</v>
      </c>
      <c r="D24" s="88">
        <f>F24/B24</f>
        <v>0.15496837031477878</v>
      </c>
      <c r="F24" s="81">
        <f>SUM(F22:F23)</f>
        <v>174256.08857078137</v>
      </c>
    </row>
    <row r="25" spans="1:6" ht="5" customHeight="1"/>
    <row r="26" spans="1:6">
      <c r="A26" s="80" t="s">
        <v>483</v>
      </c>
    </row>
    <row r="27" spans="1:6">
      <c r="A27" s="367" t="s">
        <v>532</v>
      </c>
      <c r="B27">
        <v>0</v>
      </c>
      <c r="D27" s="88">
        <f>'Table 3.29-UAA MP Units'!B7</f>
        <v>0.15349404683721027</v>
      </c>
      <c r="E27" s="11" t="s">
        <v>234</v>
      </c>
      <c r="F27" s="81">
        <f>B27*D27</f>
        <v>0</v>
      </c>
    </row>
    <row r="28" spans="1:6">
      <c r="A28" s="367" t="s">
        <v>533</v>
      </c>
      <c r="B28" s="6">
        <f>'Table 3.29-UAA MP Units'!C28-B23</f>
        <v>13058.413680438913</v>
      </c>
      <c r="C28" s="11" t="s">
        <v>235</v>
      </c>
      <c r="D28" s="88">
        <f>'Table 3.29-UAA MP Units'!C7</f>
        <v>0.25178227867511016</v>
      </c>
      <c r="E28" s="11" t="s">
        <v>234</v>
      </c>
      <c r="F28" s="81">
        <f>B28*D28</f>
        <v>3287.8771523431415</v>
      </c>
    </row>
    <row r="29" spans="1:6">
      <c r="A29" s="367" t="s">
        <v>143</v>
      </c>
      <c r="B29" s="6">
        <f>'Table 3.29-UAA MP Units'!D28</f>
        <v>84267.098963776429</v>
      </c>
      <c r="C29" s="11" t="s">
        <v>234</v>
      </c>
      <c r="D29" s="88">
        <f>'Table 3.29-UAA MP Units'!D7</f>
        <v>0.45745754831558166</v>
      </c>
      <c r="E29" s="11" t="s">
        <v>234</v>
      </c>
      <c r="F29" s="81">
        <f>B29*D29</f>
        <v>38548.62049563566</v>
      </c>
    </row>
    <row r="30" spans="1:6">
      <c r="A30" s="367" t="s">
        <v>534</v>
      </c>
      <c r="B30" s="6">
        <f>'Table 3.29-UAA MP Units'!E28</f>
        <v>0</v>
      </c>
      <c r="C30" s="11" t="s">
        <v>234</v>
      </c>
      <c r="D30" s="88">
        <f>'Table 3.29-UAA MP Units'!E7</f>
        <v>0</v>
      </c>
      <c r="E30" s="11" t="s">
        <v>234</v>
      </c>
      <c r="F30" s="81">
        <f>B30*D30</f>
        <v>0</v>
      </c>
    </row>
    <row r="31" spans="1:6">
      <c r="A31" s="400" t="s">
        <v>535</v>
      </c>
      <c r="B31" s="6">
        <f>'Table 3.29-UAA MP Units'!F28</f>
        <v>9561.0175425157977</v>
      </c>
      <c r="C31" s="11" t="s">
        <v>234</v>
      </c>
      <c r="D31" s="88">
        <f>'Table 3.29-UAA MP Units'!F7</f>
        <v>3.5565692201157124</v>
      </c>
      <c r="E31" s="11" t="s">
        <v>234</v>
      </c>
      <c r="F31" s="81">
        <f>B31*D31</f>
        <v>34004.420704698059</v>
      </c>
    </row>
    <row r="32" spans="1:6">
      <c r="A32" s="367" t="s">
        <v>97</v>
      </c>
      <c r="B32" s="6">
        <f>SUM(B27:B31)</f>
        <v>106886.53018673114</v>
      </c>
      <c r="D32" s="88">
        <f>F32/B32</f>
        <v>0.70954607863294394</v>
      </c>
      <c r="F32" s="81">
        <f>SUM(F27:F31)</f>
        <v>75840.918352676861</v>
      </c>
    </row>
    <row r="33" spans="1:6" ht="5" customHeight="1"/>
    <row r="34" spans="1:6">
      <c r="A34" s="401" t="s">
        <v>537</v>
      </c>
      <c r="B34" s="6">
        <f>B24+B32</f>
        <v>1231348.8202451766</v>
      </c>
      <c r="D34" s="88">
        <f>F34/B34</f>
        <v>0.20310817114654878</v>
      </c>
      <c r="F34" s="81">
        <f>F24+F32</f>
        <v>250097.00692345825</v>
      </c>
    </row>
    <row r="35" spans="1:6" hidden="1"/>
    <row r="36" spans="1:6" hidden="1">
      <c r="A36" s="13" t="s">
        <v>186</v>
      </c>
      <c r="B36" s="105">
        <f>B18-'Table 3.29-UAA MP Units'!G27</f>
        <v>0</v>
      </c>
      <c r="D36" s="105">
        <f>D18-'Table 3.29-UAA MP Units'!G6</f>
        <v>0</v>
      </c>
      <c r="F36" s="105">
        <f>F18-PRODUCT('Table 3.29-UAA MP Units'!G6,'Table 3.29-UAA MP Units'!G27)</f>
        <v>0</v>
      </c>
    </row>
    <row r="37" spans="1:6" hidden="1">
      <c r="B37" s="105">
        <f>B34-'Table 3.29-UAA MP Units'!G28</f>
        <v>0</v>
      </c>
      <c r="D37" s="105">
        <f>D34-'Table 3.29-UAA MP Units'!G7</f>
        <v>0</v>
      </c>
      <c r="F37" s="105">
        <f>F34-PRODUCT('Table 3.29-UAA MP Units'!G7,'Table 3.29-UAA MP Units'!G28)</f>
        <v>0</v>
      </c>
    </row>
    <row r="38" spans="1:6" hidden="1">
      <c r="B38" s="105">
        <f>B6-'Table 3.29-UAA MP Units'!B27</f>
        <v>0</v>
      </c>
      <c r="D38" s="105">
        <f>B22-'Table 3.29-UAA MP Units'!B28</f>
        <v>0</v>
      </c>
      <c r="F38" s="105"/>
    </row>
    <row r="39" spans="1:6" hidden="1">
      <c r="B39" s="105">
        <f>SUM(B7,B12)-'Table 3.29-UAA MP Units'!C27</f>
        <v>0</v>
      </c>
      <c r="D39" s="105">
        <f>SUM(B23,B28)-'Table 3.29-UAA MP Units'!C28</f>
        <v>0</v>
      </c>
      <c r="F39" s="105"/>
    </row>
    <row r="40" spans="1:6">
      <c r="A40" s="103"/>
      <c r="B40" s="204"/>
      <c r="C40" s="204"/>
      <c r="D40" s="204"/>
    </row>
    <row r="41" spans="1:6">
      <c r="A41" s="4" t="s">
        <v>230</v>
      </c>
    </row>
    <row r="42" spans="1:6">
      <c r="A42" s="11" t="s">
        <v>539</v>
      </c>
    </row>
    <row r="43" spans="1:6">
      <c r="A43" s="11" t="s">
        <v>656</v>
      </c>
    </row>
    <row r="44" spans="1:6">
      <c r="A44" s="11" t="s">
        <v>693</v>
      </c>
    </row>
    <row r="45" spans="1:6">
      <c r="A45" s="11" t="s">
        <v>33</v>
      </c>
    </row>
    <row r="46" spans="1:6">
      <c r="A46" s="11" t="s">
        <v>657</v>
      </c>
    </row>
  </sheetData>
  <phoneticPr fontId="5" type="noConversion"/>
  <printOptions horizontalCentered="1"/>
  <pageMargins left="0.75" right="0.75" top="1" bottom="1" header="0.5" footer="0.5"/>
  <pageSetup scale="94" orientation="landscape" r:id="rId1"/>
  <headerFooter alignWithMargins="0">
    <oddFooter>&amp;L&amp;F</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pageSetUpPr fitToPage="1"/>
  </sheetPr>
  <dimension ref="A1:J35"/>
  <sheetViews>
    <sheetView zoomScale="70" workbookViewId="0"/>
  </sheetViews>
  <sheetFormatPr baseColWidth="10" defaultColWidth="8.83203125" defaultRowHeight="13"/>
  <cols>
    <col min="1" max="1" width="25.83203125" bestFit="1" customWidth="1"/>
    <col min="2" max="4" width="11.5" customWidth="1"/>
    <col min="5" max="5" width="3.5" customWidth="1"/>
    <col min="6" max="6" width="11.5" customWidth="1"/>
    <col min="7" max="7" width="3.5" customWidth="1"/>
    <col min="8" max="9" width="11.5" customWidth="1"/>
  </cols>
  <sheetData>
    <row r="1" spans="1:10" ht="16">
      <c r="A1" s="117" t="s">
        <v>705</v>
      </c>
    </row>
    <row r="2" spans="1:10" ht="16">
      <c r="A2" s="117" t="s">
        <v>780</v>
      </c>
    </row>
    <row r="3" spans="1:10" ht="5" customHeight="1">
      <c r="A3" s="346"/>
    </row>
    <row r="4" spans="1:10">
      <c r="A4" s="14" t="s">
        <v>219</v>
      </c>
    </row>
    <row r="5" spans="1:10" ht="28">
      <c r="B5" s="125" t="s">
        <v>245</v>
      </c>
      <c r="C5" s="141" t="s">
        <v>99</v>
      </c>
      <c r="D5" s="138" t="s">
        <v>244</v>
      </c>
      <c r="E5" s="141"/>
      <c r="F5" s="142" t="s">
        <v>241</v>
      </c>
      <c r="G5" s="142"/>
      <c r="H5" s="119" t="s">
        <v>213</v>
      </c>
      <c r="I5" s="31" t="s">
        <v>128</v>
      </c>
      <c r="J5" s="4"/>
    </row>
    <row r="6" spans="1:10">
      <c r="A6" s="16" t="s">
        <v>432</v>
      </c>
      <c r="B6" s="125"/>
      <c r="C6" s="141"/>
      <c r="D6" s="138"/>
      <c r="E6" s="141"/>
      <c r="F6" s="142"/>
      <c r="G6" s="142"/>
      <c r="H6" s="119"/>
      <c r="I6" s="31"/>
      <c r="J6" s="4"/>
    </row>
    <row r="7" spans="1:10" ht="14">
      <c r="A7" s="59" t="s">
        <v>273</v>
      </c>
      <c r="B7" s="125">
        <v>0</v>
      </c>
      <c r="C7" s="61" t="str">
        <f>IF(ISERROR(D7/B7),"n/a",D7/B7)</f>
        <v>n/a</v>
      </c>
      <c r="D7" s="29">
        <v>0</v>
      </c>
      <c r="E7" s="141"/>
      <c r="F7" s="39">
        <v>1.4559921991063358</v>
      </c>
      <c r="G7" s="142"/>
      <c r="H7" s="29">
        <f>F7*D7</f>
        <v>0</v>
      </c>
      <c r="I7" s="61" t="str">
        <f>IF(ISERROR(H7/B7),"n/a",H7/B7)</f>
        <v>n/a</v>
      </c>
      <c r="J7" s="4"/>
    </row>
    <row r="8" spans="1:10">
      <c r="A8" s="59" t="s">
        <v>269</v>
      </c>
      <c r="B8" s="125">
        <v>429.96737592644581</v>
      </c>
      <c r="C8" s="61">
        <f>IF(ISERROR(D8/B8),"n/a",D8/B8)</f>
        <v>0</v>
      </c>
      <c r="D8" s="29">
        <v>0</v>
      </c>
      <c r="E8" s="141"/>
      <c r="F8" s="39">
        <v>1.4559921991063358</v>
      </c>
      <c r="G8" s="142"/>
      <c r="H8" s="29">
        <f>F8*D8</f>
        <v>0</v>
      </c>
      <c r="I8" s="61">
        <f>IF(ISERROR(H8/B8),"n/a",H8/B8)</f>
        <v>0</v>
      </c>
      <c r="J8" s="4"/>
    </row>
    <row r="9" spans="1:10" ht="14">
      <c r="A9" s="60" t="s">
        <v>437</v>
      </c>
      <c r="B9" s="125">
        <f>SUM(B7:B8)</f>
        <v>429.96737592644581</v>
      </c>
      <c r="C9" s="61">
        <f>IF(ISERROR(D9/B9),"n/a",D9/B9)</f>
        <v>0</v>
      </c>
      <c r="D9" s="29">
        <f>SUM(D7:D8)</f>
        <v>0</v>
      </c>
      <c r="E9" s="347" t="s">
        <v>234</v>
      </c>
      <c r="F9" s="39"/>
      <c r="G9" s="142"/>
      <c r="H9" s="29">
        <f>SUM(H7:H8)</f>
        <v>0</v>
      </c>
      <c r="I9" s="61">
        <f>IF(ISERROR(H9/B9),"n/a",H9/B9)</f>
        <v>0</v>
      </c>
      <c r="J9" s="4"/>
    </row>
    <row r="10" spans="1:10">
      <c r="B10" s="125"/>
      <c r="C10" s="61"/>
      <c r="D10" s="138"/>
      <c r="E10" s="141"/>
      <c r="F10" s="142"/>
      <c r="G10" s="142"/>
      <c r="H10" s="119"/>
      <c r="I10" s="61"/>
      <c r="J10" s="4"/>
    </row>
    <row r="11" spans="1:10">
      <c r="A11" s="16" t="s">
        <v>435</v>
      </c>
      <c r="B11" s="125"/>
      <c r="C11" s="61"/>
      <c r="D11" s="138"/>
      <c r="E11" s="141"/>
      <c r="F11" s="142"/>
      <c r="G11" s="142"/>
      <c r="H11" s="119"/>
      <c r="I11" s="61"/>
      <c r="J11" s="4"/>
    </row>
    <row r="12" spans="1:10" ht="14">
      <c r="A12" s="59" t="s">
        <v>273</v>
      </c>
      <c r="B12" s="125">
        <v>0</v>
      </c>
      <c r="C12" s="61" t="str">
        <f>IF(ISERROR(D12/B12),"n/a",D12/B12)</f>
        <v>n/a</v>
      </c>
      <c r="D12" s="29">
        <v>0</v>
      </c>
      <c r="E12" s="141"/>
      <c r="F12" s="39">
        <v>1.4559921991063358</v>
      </c>
      <c r="G12" s="142"/>
      <c r="H12" s="29">
        <f>F12*D12</f>
        <v>0</v>
      </c>
      <c r="I12" s="61" t="str">
        <f>IF(ISERROR(H12/B12),"n/a",H12/B12)</f>
        <v>n/a</v>
      </c>
      <c r="J12" s="4"/>
    </row>
    <row r="13" spans="1:10">
      <c r="A13" s="59" t="s">
        <v>269</v>
      </c>
      <c r="B13" s="125">
        <v>251.22266464974533</v>
      </c>
      <c r="C13" s="61">
        <f>IF(ISERROR(D13/B13),"n/a",D13/B13)</f>
        <v>0.16014389671649923</v>
      </c>
      <c r="D13" s="29">
        <v>40.231776460512535</v>
      </c>
      <c r="E13" s="141"/>
      <c r="F13" s="39">
        <v>1.4559921991063358</v>
      </c>
      <c r="G13" s="142"/>
      <c r="H13" s="29">
        <f>F13*D13</f>
        <v>58.577152682696159</v>
      </c>
      <c r="I13" s="61">
        <f>IF(ISERROR(H13/B13),"n/a",H13/B13)</f>
        <v>0.2331682643537136</v>
      </c>
      <c r="J13" s="4"/>
    </row>
    <row r="14" spans="1:10">
      <c r="A14" s="59" t="s">
        <v>438</v>
      </c>
      <c r="B14" s="125">
        <f>SUM(B12:B13)</f>
        <v>251.22266464974533</v>
      </c>
      <c r="C14" s="61">
        <f>IF(ISERROR(D14/B14),"n/a",D14/B14)</f>
        <v>0.16014389671649923</v>
      </c>
      <c r="D14" s="29">
        <f>SUM(D12:D13)</f>
        <v>40.231776460512535</v>
      </c>
      <c r="E14" s="141"/>
      <c r="F14" s="142"/>
      <c r="G14" s="142"/>
      <c r="H14" s="29">
        <f>SUM(H12:H13)</f>
        <v>58.577152682696159</v>
      </c>
      <c r="I14" s="61">
        <f>IF(ISERROR(H14/B14),"n/a",H14/B14)</f>
        <v>0.2331682643537136</v>
      </c>
      <c r="J14" s="4"/>
    </row>
    <row r="15" spans="1:10">
      <c r="A15" s="59"/>
      <c r="B15" s="125"/>
      <c r="C15" s="61"/>
      <c r="D15" s="138"/>
      <c r="E15" s="141"/>
      <c r="F15" s="142"/>
      <c r="G15" s="142"/>
      <c r="H15" s="119"/>
      <c r="I15" s="61"/>
      <c r="J15" s="4"/>
    </row>
    <row r="16" spans="1:10">
      <c r="A16" s="16" t="s">
        <v>442</v>
      </c>
      <c r="B16" s="125"/>
      <c r="C16" s="61"/>
      <c r="D16" s="138"/>
      <c r="E16" s="141"/>
      <c r="F16" s="142"/>
      <c r="G16" s="142"/>
      <c r="H16" s="119"/>
      <c r="I16" s="61"/>
      <c r="J16" s="4"/>
    </row>
    <row r="17" spans="1:10">
      <c r="A17" s="11" t="s">
        <v>273</v>
      </c>
      <c r="C17" s="61"/>
      <c r="I17" s="19"/>
      <c r="J17" s="4"/>
    </row>
    <row r="18" spans="1:10" s="4" customFormat="1" ht="14">
      <c r="A18" s="18" t="s">
        <v>143</v>
      </c>
      <c r="B18" s="24">
        <v>0</v>
      </c>
      <c r="C18" s="61" t="str">
        <f>IF(ISERROR(D18/B18),"n/a",D18/B18)</f>
        <v>n/a</v>
      </c>
      <c r="D18" s="29">
        <v>0</v>
      </c>
      <c r="F18" s="39">
        <v>1.4559921991063358</v>
      </c>
      <c r="G18" s="20"/>
      <c r="H18" s="29">
        <f>F18*D18</f>
        <v>0</v>
      </c>
      <c r="I18" s="61" t="str">
        <f>IF(ISERROR(H18/B18),"n/a",H18/B18)</f>
        <v>n/a</v>
      </c>
    </row>
    <row r="19" spans="1:10" s="4" customFormat="1">
      <c r="A19" s="18" t="s">
        <v>144</v>
      </c>
      <c r="B19" s="24">
        <v>211.22317673820839</v>
      </c>
      <c r="C19" s="61">
        <f>IF(ISERROR(D19/B19),"n/a",D19/B19)</f>
        <v>0.15336828019837018</v>
      </c>
      <c r="D19" s="29">
        <v>32.394935354375413</v>
      </c>
      <c r="F19" s="39">
        <v>1.4559921991063358</v>
      </c>
      <c r="G19" s="20"/>
      <c r="H19" s="29">
        <f>F19*D19</f>
        <v>47.166773166524642</v>
      </c>
      <c r="I19" s="61">
        <f>IF(ISERROR(H19/B19),"n/a",H19/B19)</f>
        <v>0.22330301955918169</v>
      </c>
    </row>
    <row r="20" spans="1:10" s="4" customFormat="1">
      <c r="A20" s="17" t="s">
        <v>145</v>
      </c>
      <c r="B20" s="125">
        <f>SUM(B18:B19)</f>
        <v>211.22317673820839</v>
      </c>
      <c r="C20" s="61">
        <f>IF(ISERROR(D20/B20),"n/a",D20/B20)</f>
        <v>0.15336828019837018</v>
      </c>
      <c r="D20" s="29">
        <f>SUM(D18:D19)</f>
        <v>32.394935354375413</v>
      </c>
      <c r="F20" s="39"/>
      <c r="G20" s="20"/>
      <c r="H20" s="29">
        <f>SUM(H18:H19)</f>
        <v>47.166773166524642</v>
      </c>
      <c r="I20" s="61">
        <f>IF(ISERROR(H20/B20),"n/a",H20/B20)</f>
        <v>0.22330301955918169</v>
      </c>
      <c r="J20" s="17"/>
    </row>
    <row r="21" spans="1:10" s="4" customFormat="1">
      <c r="A21" s="18"/>
      <c r="B21" s="24"/>
      <c r="C21" s="61"/>
      <c r="D21" s="29"/>
      <c r="F21" s="39"/>
      <c r="G21" s="20"/>
      <c r="H21" s="32"/>
      <c r="I21" s="64"/>
    </row>
    <row r="22" spans="1:10">
      <c r="A22" s="11" t="s">
        <v>275</v>
      </c>
      <c r="C22" s="61"/>
      <c r="D22" s="29"/>
      <c r="H22" s="81"/>
      <c r="I22" s="19"/>
    </row>
    <row r="23" spans="1:10">
      <c r="A23" s="18" t="s">
        <v>143</v>
      </c>
      <c r="B23" s="24">
        <v>507.38458098956295</v>
      </c>
      <c r="C23" s="61">
        <f>IF(ISERROR(D23/B23),"n/a",D23/B23)</f>
        <v>0.32404527950236456</v>
      </c>
      <c r="D23" s="29">
        <v>164.41557836195307</v>
      </c>
      <c r="E23" s="4"/>
      <c r="F23" s="39">
        <v>1.4559921991063358</v>
      </c>
      <c r="G23" s="20"/>
      <c r="H23" s="29">
        <f>F23*D23</f>
        <v>239.38779950656013</v>
      </c>
      <c r="I23" s="61">
        <f>IF(ISERROR(H23/B23),"n/a",H23/B23)</f>
        <v>0.47180739911267505</v>
      </c>
    </row>
    <row r="24" spans="1:10">
      <c r="A24" s="18" t="s">
        <v>144</v>
      </c>
      <c r="B24" s="24">
        <v>2322.6834786914765</v>
      </c>
      <c r="C24" s="61">
        <f>IF(ISERROR(D24/B24),"n/a",D24/B24)</f>
        <v>0.15336828019837012</v>
      </c>
      <c r="D24" s="29">
        <v>356.2259705720794</v>
      </c>
      <c r="E24" s="4"/>
      <c r="F24" s="39">
        <v>1.4559921991063358</v>
      </c>
      <c r="G24" s="20"/>
      <c r="H24" s="29">
        <f>F24*D24</f>
        <v>518.66223427203079</v>
      </c>
      <c r="I24" s="61">
        <f>IF(ISERROR(H24/B24),"n/a",H24/B24)</f>
        <v>0.22330301955918164</v>
      </c>
    </row>
    <row r="25" spans="1:10">
      <c r="A25" s="17" t="s">
        <v>146</v>
      </c>
      <c r="B25" s="125">
        <f>SUM(B23:B24)</f>
        <v>2830.0680596810394</v>
      </c>
      <c r="C25" s="61">
        <f>IF(ISERROR(D25/B25),"n/a",D25/B25)</f>
        <v>0.18396785446662048</v>
      </c>
      <c r="D25" s="29">
        <f>SUM(D23:D24)</f>
        <v>520.64154893403247</v>
      </c>
      <c r="E25" s="4"/>
      <c r="F25" s="39"/>
      <c r="G25" s="20"/>
      <c r="H25" s="29">
        <f>SUM(H23:H24)</f>
        <v>758.05003377859089</v>
      </c>
      <c r="I25" s="61">
        <f>IF(ISERROR(H25/B25),"n/a",H25/B25)</f>
        <v>0.26785576098972913</v>
      </c>
    </row>
    <row r="26" spans="1:10">
      <c r="C26" s="61"/>
      <c r="D26" s="29"/>
      <c r="H26" s="81"/>
      <c r="I26" s="19"/>
    </row>
    <row r="27" spans="1:10">
      <c r="A27" s="14" t="s">
        <v>220</v>
      </c>
      <c r="B27" s="6">
        <f>SUM(B9,B14,B20,B25)</f>
        <v>3722.4812769954387</v>
      </c>
      <c r="C27" s="61">
        <f>IF(ISERROR(D27/B27),"n/a",D27/B27)</f>
        <v>0.1593744109380103</v>
      </c>
      <c r="D27" s="29">
        <f>SUM(D9,D14,D20,D25)</f>
        <v>593.2682607489204</v>
      </c>
      <c r="F27" s="39"/>
      <c r="H27" s="29">
        <f>SUM(H9,H14,H20,H25)</f>
        <v>863.79395962781166</v>
      </c>
      <c r="I27" s="61">
        <f>IF(ISERROR(H27/B27),"n/a",H27/B27)</f>
        <v>0.23204789906291048</v>
      </c>
    </row>
    <row r="28" spans="1:10" hidden="1">
      <c r="D28" s="19"/>
    </row>
    <row r="29" spans="1:10" hidden="1">
      <c r="A29" s="13" t="s">
        <v>186</v>
      </c>
      <c r="B29" s="98">
        <v>0</v>
      </c>
      <c r="C29" s="98">
        <v>0</v>
      </c>
      <c r="D29" s="98">
        <v>0</v>
      </c>
      <c r="F29" s="99"/>
      <c r="H29" s="98">
        <f>H27/D27-F24</f>
        <v>0</v>
      </c>
      <c r="I29" s="98">
        <f>I27/C27-F24</f>
        <v>0</v>
      </c>
    </row>
    <row r="30" spans="1:10">
      <c r="A30" s="204"/>
      <c r="B30" s="204"/>
      <c r="C30" s="204"/>
      <c r="D30" s="204"/>
    </row>
    <row r="31" spans="1:10">
      <c r="A31" t="s">
        <v>230</v>
      </c>
    </row>
    <row r="32" spans="1:10">
      <c r="A32" s="17" t="s">
        <v>793</v>
      </c>
    </row>
    <row r="33" spans="1:1">
      <c r="A33" s="17" t="s">
        <v>788</v>
      </c>
    </row>
    <row r="34" spans="1:1">
      <c r="A34" s="11" t="s">
        <v>443</v>
      </c>
    </row>
    <row r="35" spans="1:1">
      <c r="A35" s="11" t="s">
        <v>658</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8">
    <pageSetUpPr fitToPage="1"/>
  </sheetPr>
  <dimension ref="A1:J25"/>
  <sheetViews>
    <sheetView zoomScale="70" workbookViewId="0"/>
  </sheetViews>
  <sheetFormatPr baseColWidth="10" defaultColWidth="9.1640625" defaultRowHeight="13"/>
  <cols>
    <col min="1" max="1" width="43.5" style="4" customWidth="1"/>
    <col min="2" max="4" width="11.5" style="4" customWidth="1"/>
    <col min="5" max="5" width="2.5" style="4" customWidth="1"/>
    <col min="6" max="6" width="11.5" style="4" customWidth="1"/>
    <col min="7" max="7" width="2.5" style="4" customWidth="1"/>
    <col min="8" max="9" width="11.5" style="4" customWidth="1"/>
    <col min="10" max="16384" width="9.1640625" style="4"/>
  </cols>
  <sheetData>
    <row r="1" spans="1:10" ht="16">
      <c r="A1" s="117" t="s">
        <v>706</v>
      </c>
    </row>
    <row r="2" spans="1:10" ht="16">
      <c r="A2" s="117" t="s">
        <v>780</v>
      </c>
    </row>
    <row r="3" spans="1:10" ht="28">
      <c r="A3" s="5" t="s">
        <v>150</v>
      </c>
      <c r="B3" s="125" t="s">
        <v>245</v>
      </c>
      <c r="C3" s="135" t="s">
        <v>99</v>
      </c>
      <c r="D3" s="138" t="s">
        <v>244</v>
      </c>
      <c r="E3" s="120"/>
      <c r="F3" s="119" t="s">
        <v>241</v>
      </c>
      <c r="G3" s="118"/>
      <c r="H3" s="118" t="s">
        <v>128</v>
      </c>
      <c r="I3" s="31" t="s">
        <v>153</v>
      </c>
    </row>
    <row r="4" spans="1:10">
      <c r="A4" s="18" t="s">
        <v>148</v>
      </c>
      <c r="B4" s="24">
        <v>1376.722168270391</v>
      </c>
      <c r="C4" s="137">
        <f>D4/B4</f>
        <v>0.51077244125965782</v>
      </c>
      <c r="D4" s="29">
        <v>703.19174282375695</v>
      </c>
      <c r="E4" s="139"/>
      <c r="F4" s="139">
        <v>3.5156084078143586</v>
      </c>
      <c r="G4" s="139"/>
      <c r="H4" s="137">
        <f>C4*F4</f>
        <v>1.7956758889723186</v>
      </c>
      <c r="I4" s="64">
        <f>B4/B$4*H4</f>
        <v>1.7956758889723186</v>
      </c>
    </row>
    <row r="5" spans="1:10" ht="14">
      <c r="A5" s="71" t="s">
        <v>147</v>
      </c>
      <c r="B5" s="24">
        <v>1376.722168270391</v>
      </c>
      <c r="C5" s="137">
        <f>D5/B5</f>
        <v>0.3481125583473309</v>
      </c>
      <c r="D5" s="29">
        <v>479.25427613009037</v>
      </c>
      <c r="E5" s="28"/>
      <c r="F5" s="139">
        <v>3.5156084078143586</v>
      </c>
      <c r="G5" s="58"/>
      <c r="H5" s="137">
        <f>C5*F5</f>
        <v>1.2238274369916431</v>
      </c>
      <c r="I5" s="64">
        <f>B5/B$4*H5</f>
        <v>1.2238274369916431</v>
      </c>
    </row>
    <row r="6" spans="1:10">
      <c r="B6" s="28"/>
      <c r="C6" s="64"/>
      <c r="D6" s="29"/>
      <c r="E6" s="28"/>
      <c r="F6" s="58"/>
      <c r="G6" s="58"/>
      <c r="H6" s="137"/>
      <c r="I6" s="64"/>
    </row>
    <row r="7" spans="1:10">
      <c r="A7" s="14" t="s">
        <v>158</v>
      </c>
      <c r="B7" s="28"/>
      <c r="C7" s="64"/>
      <c r="D7" s="29"/>
      <c r="E7" s="28"/>
      <c r="F7" s="58"/>
      <c r="G7" s="58"/>
      <c r="H7" s="137"/>
      <c r="I7" s="137">
        <f>SUM(I4:I5)</f>
        <v>3.0195033259639619</v>
      </c>
      <c r="J7" s="17"/>
    </row>
    <row r="8" spans="1:10">
      <c r="B8" s="28"/>
      <c r="C8" s="64"/>
      <c r="D8" s="29"/>
      <c r="E8" s="28"/>
      <c r="F8" s="58"/>
      <c r="G8" s="58"/>
      <c r="H8" s="137"/>
      <c r="I8" s="64"/>
    </row>
    <row r="9" spans="1:10">
      <c r="A9" s="5" t="s">
        <v>152</v>
      </c>
      <c r="C9" s="64"/>
      <c r="D9" s="29"/>
      <c r="H9" s="64"/>
      <c r="I9" s="64"/>
    </row>
    <row r="10" spans="1:10">
      <c r="A10" s="18" t="s">
        <v>148</v>
      </c>
      <c r="B10" s="24">
        <v>9701.2118098379578</v>
      </c>
      <c r="C10" s="137">
        <f>D10/B10</f>
        <v>0.51077244125965793</v>
      </c>
      <c r="D10" s="29">
        <v>4955.1116392879576</v>
      </c>
      <c r="F10" s="139">
        <v>3.5156084078143586</v>
      </c>
      <c r="H10" s="137">
        <f>C10*F10</f>
        <v>1.795675888972319</v>
      </c>
      <c r="I10" s="64">
        <f>B10/B$10*H10</f>
        <v>1.795675888972319</v>
      </c>
    </row>
    <row r="11" spans="1:10" ht="14">
      <c r="A11" s="71" t="s">
        <v>147</v>
      </c>
      <c r="B11" s="24">
        <v>9701.2118098379578</v>
      </c>
      <c r="C11" s="137">
        <f>D11/B11</f>
        <v>0.34811255834733101</v>
      </c>
      <c r="D11" s="29">
        <v>3377.1136621920327</v>
      </c>
      <c r="F11" s="139">
        <v>3.5156084078143586</v>
      </c>
      <c r="H11" s="137">
        <f>C11*F11</f>
        <v>1.2238274369916433</v>
      </c>
      <c r="I11" s="64">
        <f>B11/B$10*H11</f>
        <v>1.2238274369916433</v>
      </c>
    </row>
    <row r="12" spans="1:10">
      <c r="I12" s="64"/>
    </row>
    <row r="13" spans="1:10">
      <c r="A13" s="14" t="s">
        <v>261</v>
      </c>
      <c r="I13" s="137">
        <f>SUM(I10:I11)</f>
        <v>3.0195033259639623</v>
      </c>
    </row>
    <row r="14" spans="1:10" hidden="1"/>
    <row r="15" spans="1:10" hidden="1">
      <c r="B15" s="402" t="s">
        <v>183</v>
      </c>
      <c r="C15" s="94">
        <v>0</v>
      </c>
      <c r="D15" s="94">
        <v>0</v>
      </c>
      <c r="F15" s="94">
        <f>(I7*B4+I13*B10)-SUM(D4:D5,D10:D11)*F4</f>
        <v>0</v>
      </c>
    </row>
    <row r="16" spans="1:10" hidden="1">
      <c r="B16" s="402" t="s">
        <v>183</v>
      </c>
      <c r="C16" s="94">
        <v>0</v>
      </c>
      <c r="D16" s="94">
        <v>0</v>
      </c>
      <c r="F16" s="24"/>
    </row>
    <row r="17" spans="1:4" hidden="1">
      <c r="B17" s="402" t="s">
        <v>183</v>
      </c>
      <c r="C17" s="94"/>
      <c r="D17" s="94">
        <v>0</v>
      </c>
    </row>
    <row r="18" spans="1:4" hidden="1">
      <c r="B18" s="402" t="s">
        <v>183</v>
      </c>
      <c r="C18" s="94">
        <v>0</v>
      </c>
      <c r="D18" s="94">
        <v>0</v>
      </c>
    </row>
    <row r="19" spans="1:4" hidden="1">
      <c r="B19" s="402" t="s">
        <v>183</v>
      </c>
      <c r="C19" s="94">
        <v>0</v>
      </c>
      <c r="D19" s="94">
        <v>0</v>
      </c>
    </row>
    <row r="20" spans="1:4" hidden="1">
      <c r="B20" s="402" t="s">
        <v>183</v>
      </c>
      <c r="C20" s="94"/>
      <c r="D20" s="94">
        <v>0</v>
      </c>
    </row>
    <row r="21" spans="1:4" hidden="1">
      <c r="B21" s="402" t="s">
        <v>183</v>
      </c>
      <c r="C21" s="94">
        <f>C4-C10</f>
        <v>0</v>
      </c>
      <c r="D21" s="94">
        <f>C5-C11</f>
        <v>0</v>
      </c>
    </row>
    <row r="22" spans="1:4">
      <c r="A22" s="103"/>
      <c r="B22" s="215"/>
      <c r="C22" s="216"/>
      <c r="D22" s="216"/>
    </row>
    <row r="23" spans="1:4">
      <c r="A23" s="4" t="s">
        <v>230</v>
      </c>
    </row>
    <row r="24" spans="1:4">
      <c r="A24" s="17" t="s">
        <v>806</v>
      </c>
    </row>
    <row r="25" spans="1:4">
      <c r="A25" s="17" t="s">
        <v>788</v>
      </c>
    </row>
  </sheetData>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0">
    <pageSetUpPr fitToPage="1"/>
  </sheetPr>
  <dimension ref="A1:J39"/>
  <sheetViews>
    <sheetView zoomScale="70" workbookViewId="0"/>
  </sheetViews>
  <sheetFormatPr baseColWidth="10" defaultColWidth="9.1640625" defaultRowHeight="13"/>
  <cols>
    <col min="1" max="1" width="43.5" style="4" customWidth="1"/>
    <col min="2" max="2" width="11.5" style="48" customWidth="1"/>
    <col min="3" max="3" width="11.5" style="28" customWidth="1"/>
    <col min="4" max="4" width="11.5" style="37" customWidth="1"/>
    <col min="5" max="5" width="2.5" style="4" customWidth="1"/>
    <col min="6" max="6" width="11.5" style="4" customWidth="1"/>
    <col min="7" max="7" width="2.5" style="4" customWidth="1"/>
    <col min="8" max="9" width="11.5" style="4" customWidth="1"/>
    <col min="10" max="16384" width="9.1640625" style="4"/>
  </cols>
  <sheetData>
    <row r="1" spans="1:10" ht="16">
      <c r="A1" s="117" t="s">
        <v>707</v>
      </c>
    </row>
    <row r="2" spans="1:10" ht="16">
      <c r="A2" s="117" t="s">
        <v>780</v>
      </c>
    </row>
    <row r="3" spans="1:10" ht="28">
      <c r="B3" s="125" t="s">
        <v>245</v>
      </c>
      <c r="C3" s="135" t="s">
        <v>99</v>
      </c>
      <c r="D3" s="138" t="s">
        <v>244</v>
      </c>
      <c r="E3" s="120"/>
      <c r="F3" s="119" t="s">
        <v>241</v>
      </c>
      <c r="G3" s="118"/>
      <c r="H3" s="118" t="s">
        <v>128</v>
      </c>
      <c r="I3" s="31" t="s">
        <v>153</v>
      </c>
    </row>
    <row r="4" spans="1:10">
      <c r="A4" s="5" t="s">
        <v>150</v>
      </c>
      <c r="B4" s="37"/>
      <c r="H4" s="28"/>
    </row>
    <row r="5" spans="1:10">
      <c r="A5" s="18" t="s">
        <v>151</v>
      </c>
      <c r="B5" s="24">
        <v>1002.8017380164355</v>
      </c>
      <c r="C5" s="137">
        <f>D5/B5</f>
        <v>0.37270378053638992</v>
      </c>
      <c r="D5" s="29">
        <v>373.74799888718792</v>
      </c>
      <c r="F5" s="139">
        <v>1.2964363113082193</v>
      </c>
      <c r="G5" s="139"/>
      <c r="H5" s="137">
        <f>C5*F5</f>
        <v>0.48318671444922545</v>
      </c>
      <c r="I5" s="64">
        <f>H5*B5/$B$5</f>
        <v>0.48318671444922545</v>
      </c>
    </row>
    <row r="6" spans="1:10">
      <c r="A6" s="18" t="s">
        <v>155</v>
      </c>
      <c r="B6" s="24"/>
      <c r="C6" s="137"/>
      <c r="D6" s="29"/>
      <c r="F6" s="139"/>
      <c r="G6" s="139"/>
      <c r="H6" s="137"/>
      <c r="I6" s="64"/>
    </row>
    <row r="7" spans="1:10">
      <c r="A7" s="59" t="s">
        <v>156</v>
      </c>
      <c r="B7" s="24">
        <v>83.651347471865037</v>
      </c>
      <c r="C7" s="137">
        <f>D7/B7</f>
        <v>0.33151577415804934</v>
      </c>
      <c r="D7" s="29">
        <v>27.731741216499323</v>
      </c>
      <c r="F7" s="139">
        <v>1.2964363113082193</v>
      </c>
      <c r="G7" s="139"/>
      <c r="H7" s="137">
        <f>C7*F7</f>
        <v>0.4297890873899502</v>
      </c>
      <c r="I7" s="64">
        <f>H7*B7/$B$5</f>
        <v>3.5851988409979448E-2</v>
      </c>
    </row>
    <row r="8" spans="1:10">
      <c r="A8" s="59" t="s">
        <v>157</v>
      </c>
      <c r="B8" s="24">
        <v>545.22996029061505</v>
      </c>
      <c r="C8" s="137">
        <f>D8/B8</f>
        <v>0.33151577415804939</v>
      </c>
      <c r="D8" s="29">
        <v>180.75233237990577</v>
      </c>
      <c r="F8" s="139">
        <v>1.2964363113082193</v>
      </c>
      <c r="G8" s="139"/>
      <c r="H8" s="137">
        <f>C8*F8</f>
        <v>0.42978908738995025</v>
      </c>
      <c r="I8" s="64">
        <f>H8*B8/$B$5</f>
        <v>0.2336791792109176</v>
      </c>
    </row>
    <row r="9" spans="1:10">
      <c r="A9" s="60" t="s">
        <v>154</v>
      </c>
      <c r="B9" s="24">
        <v>373.92043025395543</v>
      </c>
      <c r="C9" s="137">
        <f>D9/B9</f>
        <v>0.33151577415804934</v>
      </c>
      <c r="D9" s="29">
        <v>123.96052090915093</v>
      </c>
      <c r="F9" s="139">
        <v>1.2964363113082193</v>
      </c>
      <c r="G9" s="139"/>
      <c r="H9" s="137">
        <f>C9*F9</f>
        <v>0.4297890873899502</v>
      </c>
      <c r="I9" s="64">
        <f>H9*B9/$B$5</f>
        <v>0.16025791976905321</v>
      </c>
    </row>
    <row r="10" spans="1:10">
      <c r="A10" s="60"/>
      <c r="B10" s="24"/>
      <c r="C10" s="137"/>
      <c r="D10" s="29"/>
      <c r="F10" s="139"/>
      <c r="G10" s="139"/>
      <c r="H10" s="137"/>
      <c r="I10" s="64"/>
    </row>
    <row r="11" spans="1:10">
      <c r="A11" s="14" t="s">
        <v>158</v>
      </c>
      <c r="B11" s="37"/>
      <c r="C11" s="64"/>
      <c r="D11" s="29"/>
      <c r="F11" s="58"/>
      <c r="G11" s="58"/>
      <c r="H11" s="64"/>
      <c r="I11" s="64">
        <f>SUM(I5:I9)</f>
        <v>0.91297580183917582</v>
      </c>
      <c r="J11" s="17"/>
    </row>
    <row r="12" spans="1:10">
      <c r="B12" s="37"/>
      <c r="C12" s="64"/>
      <c r="D12" s="29"/>
      <c r="F12" s="58"/>
      <c r="G12" s="58"/>
      <c r="H12" s="64"/>
      <c r="I12" s="64"/>
    </row>
    <row r="13" spans="1:10">
      <c r="A13" s="5" t="s">
        <v>152</v>
      </c>
      <c r="B13" s="37"/>
      <c r="C13" s="64"/>
      <c r="D13" s="29"/>
      <c r="F13" s="58"/>
      <c r="G13" s="58"/>
      <c r="H13" s="64"/>
      <c r="I13" s="64"/>
    </row>
    <row r="14" spans="1:10">
      <c r="A14" s="18" t="s">
        <v>151</v>
      </c>
      <c r="B14" s="24">
        <v>6403.9519039677889</v>
      </c>
      <c r="C14" s="137">
        <f>D14/B14</f>
        <v>0.37270378053638997</v>
      </c>
      <c r="D14" s="29">
        <v>2386.7770849820076</v>
      </c>
      <c r="F14" s="139">
        <v>1.2964363113082193</v>
      </c>
      <c r="G14" s="139"/>
      <c r="H14" s="137">
        <f>C14*F14</f>
        <v>0.48318671444922551</v>
      </c>
      <c r="I14" s="64">
        <f>B14/$B$14*H14</f>
        <v>0.48318671444922551</v>
      </c>
    </row>
    <row r="15" spans="1:10">
      <c r="A15" s="18" t="s">
        <v>155</v>
      </c>
      <c r="B15" s="37"/>
      <c r="C15" s="64"/>
      <c r="D15" s="29"/>
      <c r="H15" s="64"/>
      <c r="I15" s="64"/>
    </row>
    <row r="16" spans="1:10">
      <c r="A16" s="59" t="s">
        <v>156</v>
      </c>
      <c r="B16" s="24">
        <v>2753.9144278147355</v>
      </c>
      <c r="C16" s="137">
        <f>D16/B16</f>
        <v>0.33151577415804945</v>
      </c>
      <c r="D16" s="29">
        <v>912.96607350202385</v>
      </c>
      <c r="F16" s="139">
        <v>1.2964363113082193</v>
      </c>
      <c r="G16" s="139"/>
      <c r="H16" s="137">
        <f>C16*F16</f>
        <v>0.42978908738995031</v>
      </c>
      <c r="I16" s="64">
        <f>B16/$B$14*H16</f>
        <v>0.18482374421756209</v>
      </c>
    </row>
    <row r="17" spans="1:9">
      <c r="A17" s="59" t="s">
        <v>157</v>
      </c>
      <c r="B17" s="24">
        <v>352.77757028288465</v>
      </c>
      <c r="C17" s="137">
        <f>D17/B17</f>
        <v>0.33151577415804939</v>
      </c>
      <c r="D17" s="29">
        <v>116.9513293179262</v>
      </c>
      <c r="F17" s="139">
        <v>1.2964363113082193</v>
      </c>
      <c r="H17" s="137">
        <f>C17*F17</f>
        <v>0.42978908738995025</v>
      </c>
      <c r="I17" s="64">
        <f>B17/$B$14*H17</f>
        <v>2.3675997611659713E-2</v>
      </c>
    </row>
    <row r="18" spans="1:9">
      <c r="A18" s="60" t="s">
        <v>154</v>
      </c>
      <c r="B18" s="24">
        <v>3297.2599058701685</v>
      </c>
      <c r="C18" s="137">
        <f>D18/B18</f>
        <v>0.33151577415804945</v>
      </c>
      <c r="D18" s="29">
        <v>1093.0936702948461</v>
      </c>
      <c r="F18" s="139">
        <v>1.2964363113082193</v>
      </c>
      <c r="H18" s="137">
        <f>C18*F18</f>
        <v>0.42978908738995031</v>
      </c>
      <c r="I18" s="64">
        <f>B18/$B$14*H18</f>
        <v>0.22128934556072849</v>
      </c>
    </row>
    <row r="19" spans="1:9">
      <c r="A19" s="60"/>
      <c r="B19" s="136"/>
      <c r="C19" s="136"/>
      <c r="D19" s="24"/>
      <c r="F19" s="139"/>
      <c r="H19" s="136"/>
      <c r="I19" s="64"/>
    </row>
    <row r="20" spans="1:9">
      <c r="A20" s="14" t="s">
        <v>261</v>
      </c>
      <c r="I20" s="64">
        <f>SUM(I14:I18)</f>
        <v>0.91297580183917582</v>
      </c>
    </row>
    <row r="21" spans="1:9" hidden="1"/>
    <row r="22" spans="1:9" hidden="1">
      <c r="B22" s="402" t="s">
        <v>183</v>
      </c>
      <c r="C22" s="94">
        <v>0</v>
      </c>
      <c r="D22" s="94">
        <v>0</v>
      </c>
    </row>
    <row r="23" spans="1:9" hidden="1">
      <c r="B23" s="402" t="s">
        <v>183</v>
      </c>
      <c r="C23" s="94">
        <v>0</v>
      </c>
      <c r="D23" s="94">
        <v>0</v>
      </c>
    </row>
    <row r="24" spans="1:9" hidden="1">
      <c r="B24" s="402" t="s">
        <v>183</v>
      </c>
      <c r="C24" s="94">
        <v>0</v>
      </c>
      <c r="D24" s="94">
        <v>0</v>
      </c>
    </row>
    <row r="25" spans="1:9" hidden="1">
      <c r="B25" s="402" t="s">
        <v>183</v>
      </c>
      <c r="C25" s="94">
        <v>0</v>
      </c>
      <c r="D25" s="94">
        <v>0</v>
      </c>
    </row>
    <row r="26" spans="1:9" hidden="1">
      <c r="B26" s="402" t="s">
        <v>183</v>
      </c>
      <c r="C26" s="96"/>
      <c r="D26" s="94">
        <v>0</v>
      </c>
    </row>
    <row r="27" spans="1:9" hidden="1">
      <c r="B27" s="402" t="s">
        <v>183</v>
      </c>
      <c r="C27" s="94">
        <v>0</v>
      </c>
      <c r="D27" s="94">
        <v>0</v>
      </c>
    </row>
    <row r="28" spans="1:9" hidden="1">
      <c r="B28" s="402" t="s">
        <v>183</v>
      </c>
      <c r="C28" s="94">
        <v>0</v>
      </c>
      <c r="D28" s="94">
        <v>0</v>
      </c>
    </row>
    <row r="29" spans="1:9" hidden="1">
      <c r="B29" s="402" t="s">
        <v>183</v>
      </c>
      <c r="C29" s="94">
        <v>0</v>
      </c>
      <c r="D29" s="94">
        <v>0</v>
      </c>
    </row>
    <row r="30" spans="1:9" hidden="1">
      <c r="B30" s="402" t="s">
        <v>183</v>
      </c>
      <c r="C30" s="94">
        <v>0</v>
      </c>
      <c r="D30" s="94">
        <v>0</v>
      </c>
    </row>
    <row r="31" spans="1:9" hidden="1">
      <c r="B31" s="402" t="s">
        <v>183</v>
      </c>
      <c r="C31" s="96"/>
      <c r="D31" s="94">
        <v>0</v>
      </c>
    </row>
    <row r="32" spans="1:9" hidden="1">
      <c r="B32" s="402" t="s">
        <v>183</v>
      </c>
      <c r="C32" s="94">
        <f>C5-C14</f>
        <v>0</v>
      </c>
      <c r="D32" s="94">
        <f>B5-B7-B8-B9</f>
        <v>0</v>
      </c>
    </row>
    <row r="33" spans="1:4" hidden="1">
      <c r="B33" s="402" t="s">
        <v>183</v>
      </c>
      <c r="C33" s="94">
        <f>C7-C16</f>
        <v>0</v>
      </c>
      <c r="D33" s="94">
        <f>B14-B16-B17-B18</f>
        <v>0</v>
      </c>
    </row>
    <row r="34" spans="1:4" hidden="1">
      <c r="B34" s="402" t="s">
        <v>183</v>
      </c>
      <c r="C34" s="94">
        <f>C8-C17</f>
        <v>0</v>
      </c>
    </row>
    <row r="35" spans="1:4" hidden="1">
      <c r="B35" s="402" t="s">
        <v>183</v>
      </c>
      <c r="C35" s="94">
        <f>C9-C18</f>
        <v>0</v>
      </c>
    </row>
    <row r="36" spans="1:4">
      <c r="A36" s="103"/>
      <c r="B36" s="217"/>
      <c r="C36" s="213"/>
      <c r="D36" s="218"/>
    </row>
    <row r="37" spans="1:4">
      <c r="A37" s="4" t="s">
        <v>230</v>
      </c>
    </row>
    <row r="38" spans="1:4">
      <c r="A38" s="17" t="s">
        <v>806</v>
      </c>
    </row>
    <row r="39" spans="1:4">
      <c r="A39" s="17" t="s">
        <v>788</v>
      </c>
    </row>
  </sheetData>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51">
    <pageSetUpPr fitToPage="1"/>
  </sheetPr>
  <dimension ref="A1:K23"/>
  <sheetViews>
    <sheetView zoomScale="70" workbookViewId="0"/>
  </sheetViews>
  <sheetFormatPr baseColWidth="10" defaultColWidth="9.1640625" defaultRowHeight="13"/>
  <cols>
    <col min="1" max="1" width="43.5" style="4" customWidth="1"/>
    <col min="2" max="2" width="11.5" style="37" customWidth="1"/>
    <col min="3" max="3" width="11.5" style="47" customWidth="1"/>
    <col min="4" max="4" width="11.5" style="48" customWidth="1"/>
    <col min="5" max="5" width="2.5" style="4" customWidth="1"/>
    <col min="6" max="6" width="11.5" style="4" customWidth="1"/>
    <col min="7" max="7" width="2.5" style="4" customWidth="1"/>
    <col min="8" max="8" width="11.5" style="28" customWidth="1"/>
    <col min="9" max="9" width="11.5" style="4" customWidth="1"/>
    <col min="10" max="16384" width="9.1640625" style="4"/>
  </cols>
  <sheetData>
    <row r="1" spans="1:11" s="2" customFormat="1" ht="16">
      <c r="A1" s="117" t="s">
        <v>708</v>
      </c>
      <c r="B1" s="67"/>
      <c r="C1" s="68"/>
      <c r="D1" s="69"/>
      <c r="H1" s="70"/>
    </row>
    <row r="2" spans="1:11" ht="16">
      <c r="A2" s="117" t="s">
        <v>780</v>
      </c>
      <c r="B2" s="53"/>
      <c r="C2" s="44"/>
      <c r="D2" s="45"/>
      <c r="E2" s="1"/>
      <c r="F2" s="1"/>
      <c r="G2" s="1"/>
      <c r="H2" s="46"/>
    </row>
    <row r="3" spans="1:11" ht="28">
      <c r="A3" s="5" t="s">
        <v>150</v>
      </c>
      <c r="B3" s="125" t="s">
        <v>245</v>
      </c>
      <c r="C3" s="135" t="s">
        <v>99</v>
      </c>
      <c r="D3" s="138" t="s">
        <v>244</v>
      </c>
      <c r="E3" s="120"/>
      <c r="F3" s="119" t="s">
        <v>241</v>
      </c>
      <c r="G3" s="118"/>
      <c r="H3" s="118" t="s">
        <v>128</v>
      </c>
      <c r="I3" s="31" t="s">
        <v>153</v>
      </c>
    </row>
    <row r="4" spans="1:11">
      <c r="A4" s="18" t="s">
        <v>149</v>
      </c>
      <c r="B4" s="7">
        <v>124.20649919241481</v>
      </c>
      <c r="C4" s="64">
        <f>D4/B4</f>
        <v>0.40849109021294233</v>
      </c>
      <c r="D4" s="140">
        <v>50.737248266642467</v>
      </c>
      <c r="E4" s="43"/>
      <c r="F4" s="139">
        <v>1.2919799506324319</v>
      </c>
      <c r="G4" s="139"/>
      <c r="H4" s="137">
        <f>C4*F4</f>
        <v>0.52776229856710555</v>
      </c>
      <c r="I4" s="64">
        <f>D4/SUM($D$4:$D$5)*H4</f>
        <v>0.17530870796827439</v>
      </c>
      <c r="J4" s="64"/>
      <c r="K4" s="48"/>
    </row>
    <row r="5" spans="1:11">
      <c r="A5" s="66" t="s">
        <v>160</v>
      </c>
      <c r="B5" s="7">
        <v>249.71393106154065</v>
      </c>
      <c r="C5" s="64">
        <f>D5/B5</f>
        <v>0.40849109021294233</v>
      </c>
      <c r="D5" s="140">
        <v>102.00591594068827</v>
      </c>
      <c r="E5" s="43"/>
      <c r="F5" s="139">
        <v>1.2919799506324319</v>
      </c>
      <c r="G5" s="139"/>
      <c r="H5" s="137">
        <f>C5*F5</f>
        <v>0.52776229856710555</v>
      </c>
      <c r="I5" s="64">
        <f>D5/SUM($D$4:$D$5)*H5</f>
        <v>0.35245359059883125</v>
      </c>
      <c r="J5" s="64"/>
      <c r="K5" s="48"/>
    </row>
    <row r="6" spans="1:11">
      <c r="B6" s="48"/>
      <c r="C6" s="64"/>
      <c r="D6" s="29"/>
      <c r="F6" s="58"/>
      <c r="G6" s="58"/>
      <c r="H6" s="137"/>
      <c r="I6" s="64"/>
      <c r="J6" s="64"/>
    </row>
    <row r="7" spans="1:11">
      <c r="A7" s="14" t="s">
        <v>158</v>
      </c>
      <c r="B7" s="48"/>
      <c r="C7" s="64"/>
      <c r="D7" s="29"/>
      <c r="F7" s="58"/>
      <c r="G7" s="58"/>
      <c r="H7" s="137"/>
      <c r="I7" s="64">
        <f>SUM(I4:I5)</f>
        <v>0.52776229856710566</v>
      </c>
      <c r="J7" s="206"/>
    </row>
    <row r="8" spans="1:11">
      <c r="B8" s="48"/>
      <c r="C8" s="64"/>
      <c r="D8" s="29"/>
      <c r="F8" s="58"/>
      <c r="G8" s="58"/>
      <c r="H8" s="137"/>
      <c r="I8" s="64"/>
      <c r="J8" s="64"/>
    </row>
    <row r="9" spans="1:11">
      <c r="A9" s="5" t="s">
        <v>152</v>
      </c>
      <c r="B9" s="48"/>
      <c r="C9" s="64"/>
      <c r="D9" s="29"/>
      <c r="H9" s="64"/>
      <c r="I9" s="64"/>
      <c r="J9" s="64"/>
      <c r="K9" s="48"/>
    </row>
    <row r="10" spans="1:11">
      <c r="A10" s="18" t="s">
        <v>149</v>
      </c>
      <c r="B10" s="7">
        <v>440.7579734523872</v>
      </c>
      <c r="C10" s="64">
        <f>D10/B10</f>
        <v>0.40849109021294239</v>
      </c>
      <c r="D10" s="140">
        <v>180.04570509561276</v>
      </c>
      <c r="E10" s="43"/>
      <c r="F10" s="139">
        <v>1.2919799506324319</v>
      </c>
      <c r="G10" s="139"/>
      <c r="H10" s="137">
        <f>C10*F10</f>
        <v>0.52776229856710555</v>
      </c>
      <c r="I10" s="64">
        <f>D10/SUM($D$10:$D$11)*H10</f>
        <v>0.21913094235515687</v>
      </c>
      <c r="J10" s="64"/>
    </row>
    <row r="11" spans="1:11">
      <c r="A11" s="66" t="s">
        <v>160</v>
      </c>
      <c r="B11" s="7">
        <v>620.77828738292317</v>
      </c>
      <c r="C11" s="64">
        <f>D11/B11</f>
        <v>0.40849109021294233</v>
      </c>
      <c r="D11" s="140">
        <v>253.58239939357352</v>
      </c>
      <c r="F11" s="139">
        <v>1.2919799506324319</v>
      </c>
      <c r="H11" s="137">
        <f>C11*F11</f>
        <v>0.52776229856710555</v>
      </c>
      <c r="I11" s="64">
        <f>D11/SUM($D$10:$D$11)*H11</f>
        <v>0.3086313562119487</v>
      </c>
      <c r="J11" s="64"/>
    </row>
    <row r="12" spans="1:11">
      <c r="H12" s="64"/>
      <c r="I12" s="64"/>
      <c r="J12" s="64"/>
    </row>
    <row r="13" spans="1:11">
      <c r="A13" s="14" t="s">
        <v>261</v>
      </c>
      <c r="D13" s="7"/>
      <c r="H13" s="64"/>
      <c r="I13" s="64">
        <f>SUM(I10:I11)</f>
        <v>0.52776229856710555</v>
      </c>
      <c r="J13" s="64"/>
    </row>
    <row r="14" spans="1:11" hidden="1"/>
    <row r="15" spans="1:11" hidden="1">
      <c r="B15" s="402" t="s">
        <v>183</v>
      </c>
      <c r="C15" s="94">
        <v>0</v>
      </c>
      <c r="D15" s="94">
        <v>0</v>
      </c>
      <c r="I15" s="48"/>
    </row>
    <row r="16" spans="1:11" hidden="1">
      <c r="B16" s="402" t="s">
        <v>183</v>
      </c>
      <c r="C16" s="94">
        <v>0</v>
      </c>
      <c r="D16" s="94">
        <v>0</v>
      </c>
    </row>
    <row r="17" spans="1:4" hidden="1">
      <c r="B17" s="402" t="s">
        <v>183</v>
      </c>
      <c r="C17" s="94">
        <v>0</v>
      </c>
      <c r="D17" s="94">
        <v>0</v>
      </c>
    </row>
    <row r="18" spans="1:4" hidden="1">
      <c r="B18" s="402" t="s">
        <v>183</v>
      </c>
      <c r="C18" s="94">
        <v>0</v>
      </c>
      <c r="D18" s="94">
        <v>0</v>
      </c>
    </row>
    <row r="19" spans="1:4" hidden="1">
      <c r="B19" s="402" t="s">
        <v>183</v>
      </c>
      <c r="C19" s="94">
        <f>C4-C10</f>
        <v>0</v>
      </c>
      <c r="D19" s="94">
        <f>C5-C11</f>
        <v>0</v>
      </c>
    </row>
    <row r="20" spans="1:4">
      <c r="A20" s="103"/>
      <c r="B20" s="218"/>
      <c r="C20" s="210"/>
      <c r="D20" s="217"/>
    </row>
    <row r="21" spans="1:4">
      <c r="A21" s="4" t="s">
        <v>230</v>
      </c>
    </row>
    <row r="22" spans="1:4">
      <c r="A22" s="17" t="s">
        <v>806</v>
      </c>
    </row>
    <row r="23" spans="1:4">
      <c r="A23" s="17" t="s">
        <v>788</v>
      </c>
    </row>
  </sheetData>
  <phoneticPr fontId="0" type="noConversion"/>
  <printOptions horizontalCentered="1"/>
  <pageMargins left="0.75" right="0.75" top="1" bottom="1" header="0.5" footer="0.5"/>
  <pageSetup orientation="landscape" r:id="rId1"/>
  <headerFooter alignWithMargins="0">
    <oddFooter>&amp;L&amp;F</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H22"/>
  <sheetViews>
    <sheetView zoomScale="70" workbookViewId="0"/>
  </sheetViews>
  <sheetFormatPr baseColWidth="10" defaultColWidth="8.83203125" defaultRowHeight="13"/>
  <cols>
    <col min="1" max="1" width="33.5" bestFit="1" customWidth="1"/>
    <col min="2" max="2" width="11.5" customWidth="1"/>
    <col min="3" max="3" width="3.5" customWidth="1"/>
    <col min="4" max="4" width="11.5" customWidth="1"/>
    <col min="5" max="5" width="3.5" customWidth="1"/>
    <col min="6" max="6" width="11.5" customWidth="1"/>
    <col min="7" max="7" width="3.5" customWidth="1"/>
    <col min="8" max="8" width="9.5" customWidth="1"/>
  </cols>
  <sheetData>
    <row r="1" spans="1:8" ht="16">
      <c r="A1" s="117" t="s">
        <v>709</v>
      </c>
    </row>
    <row r="2" spans="1:8" ht="16">
      <c r="A2" s="117" t="s">
        <v>780</v>
      </c>
    </row>
    <row r="3" spans="1:8" ht="16">
      <c r="A3" s="346"/>
    </row>
    <row r="4" spans="1:8">
      <c r="A4" s="5" t="s">
        <v>505</v>
      </c>
    </row>
    <row r="5" spans="1:8" ht="28">
      <c r="B5" s="125" t="s">
        <v>507</v>
      </c>
      <c r="C5" s="125"/>
      <c r="D5" s="125" t="s">
        <v>508</v>
      </c>
      <c r="E5" s="125"/>
      <c r="F5" s="125" t="s">
        <v>509</v>
      </c>
      <c r="G5" s="125"/>
      <c r="H5" s="125"/>
    </row>
    <row r="6" spans="1:8">
      <c r="A6" s="17" t="s">
        <v>94</v>
      </c>
      <c r="B6" s="6">
        <v>0</v>
      </c>
      <c r="C6" s="212" t="s">
        <v>231</v>
      </c>
      <c r="D6" s="6">
        <f>F6-B6</f>
        <v>1376.722168270391</v>
      </c>
      <c r="E6" s="6"/>
      <c r="F6" s="6">
        <f>'Table 3.32-Accounting Post Due'!B4</f>
        <v>1376.722168270391</v>
      </c>
      <c r="G6" s="212" t="s">
        <v>233</v>
      </c>
    </row>
    <row r="7" spans="1:8">
      <c r="A7" s="17" t="s">
        <v>95</v>
      </c>
      <c r="B7" s="6">
        <v>0</v>
      </c>
      <c r="C7" s="212" t="s">
        <v>231</v>
      </c>
      <c r="D7" s="6">
        <f>F7-B7</f>
        <v>1002.8017380164355</v>
      </c>
      <c r="E7" s="6"/>
      <c r="F7" s="6">
        <f>'Table 3.33-Delivery Post Due'!B5</f>
        <v>1002.8017380164355</v>
      </c>
      <c r="G7" s="212" t="s">
        <v>234</v>
      </c>
      <c r="H7" s="161"/>
    </row>
    <row r="8" spans="1:8">
      <c r="A8" s="17" t="s">
        <v>205</v>
      </c>
      <c r="B8" s="6">
        <v>0</v>
      </c>
      <c r="C8" s="212" t="s">
        <v>231</v>
      </c>
      <c r="D8" s="6">
        <f>F8-B8</f>
        <v>373.92043025395549</v>
      </c>
      <c r="E8" s="6"/>
      <c r="F8" s="6">
        <f>SUM('Table 3.34-Window Post Due'!B4:B5)</f>
        <v>373.92043025395549</v>
      </c>
      <c r="G8" s="212" t="s">
        <v>235</v>
      </c>
      <c r="H8" s="161"/>
    </row>
    <row r="11" spans="1:8">
      <c r="A11" s="14" t="s">
        <v>506</v>
      </c>
    </row>
    <row r="12" spans="1:8" ht="28">
      <c r="B12" s="125" t="s">
        <v>507</v>
      </c>
      <c r="C12" s="125"/>
      <c r="D12" s="125" t="s">
        <v>508</v>
      </c>
      <c r="E12" s="125"/>
      <c r="F12" s="125" t="s">
        <v>509</v>
      </c>
      <c r="G12" s="125"/>
      <c r="H12" s="125"/>
    </row>
    <row r="13" spans="1:8">
      <c r="B13" s="13" t="s">
        <v>504</v>
      </c>
      <c r="C13" s="13"/>
      <c r="D13" s="13" t="s">
        <v>504</v>
      </c>
      <c r="E13" s="13"/>
      <c r="F13" s="13" t="s">
        <v>504</v>
      </c>
      <c r="G13" s="13"/>
      <c r="H13" s="13"/>
    </row>
    <row r="14" spans="1:8">
      <c r="A14" s="17" t="s">
        <v>94</v>
      </c>
      <c r="B14" s="6">
        <v>1114.2541582697568</v>
      </c>
      <c r="C14" s="212" t="s">
        <v>231</v>
      </c>
      <c r="D14" s="6">
        <f>F14-B14</f>
        <v>8586.957651568202</v>
      </c>
      <c r="E14" s="6"/>
      <c r="F14" s="6">
        <f>'Table 3.32-Accounting Post Due'!B10</f>
        <v>9701.2118098379578</v>
      </c>
      <c r="G14" s="212" t="s">
        <v>233</v>
      </c>
    </row>
    <row r="15" spans="1:8">
      <c r="A15" s="17" t="s">
        <v>95</v>
      </c>
      <c r="B15" s="6">
        <v>921.92894181827955</v>
      </c>
      <c r="C15" s="212" t="s">
        <v>231</v>
      </c>
      <c r="D15" s="6">
        <f>F15-B15</f>
        <v>5482.0229621495091</v>
      </c>
      <c r="E15" s="6"/>
      <c r="F15" s="6">
        <f>'Table 3.33-Delivery Post Due'!B14</f>
        <v>6403.9519039677889</v>
      </c>
      <c r="G15" s="212" t="s">
        <v>234</v>
      </c>
      <c r="H15" s="161"/>
    </row>
    <row r="16" spans="1:8">
      <c r="A16" s="17" t="s">
        <v>205</v>
      </c>
      <c r="B16" s="6">
        <v>106.06226187824412</v>
      </c>
      <c r="C16" s="212" t="s">
        <v>231</v>
      </c>
      <c r="D16" s="6">
        <f>F16-B16</f>
        <v>955.4739989570661</v>
      </c>
      <c r="E16" s="6"/>
      <c r="F16" s="6">
        <f>SUM('Table 3.34-Window Post Due'!B10:B11)</f>
        <v>1061.5362608353103</v>
      </c>
      <c r="G16" s="212" t="s">
        <v>235</v>
      </c>
      <c r="H16" s="161"/>
    </row>
    <row r="17" spans="1:4">
      <c r="A17" s="103"/>
      <c r="B17" s="218"/>
      <c r="C17" s="210"/>
      <c r="D17" s="217"/>
    </row>
    <row r="18" spans="1:4">
      <c r="A18" s="4" t="s">
        <v>230</v>
      </c>
      <c r="B18" s="37"/>
      <c r="C18" s="47"/>
      <c r="D18" s="48"/>
    </row>
    <row r="19" spans="1:4">
      <c r="A19" s="17" t="s">
        <v>807</v>
      </c>
      <c r="B19" s="37"/>
      <c r="C19" s="47"/>
      <c r="D19" s="48"/>
    </row>
    <row r="20" spans="1:4">
      <c r="A20" s="17" t="s">
        <v>694</v>
      </c>
      <c r="B20" s="37"/>
      <c r="C20" s="47"/>
      <c r="D20" s="48"/>
    </row>
    <row r="21" spans="1:4">
      <c r="A21" s="17" t="s">
        <v>695</v>
      </c>
    </row>
    <row r="22" spans="1:4">
      <c r="A22" s="17" t="s">
        <v>696</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9">
    <pageSetUpPr fitToPage="1"/>
  </sheetPr>
  <dimension ref="A1:J24"/>
  <sheetViews>
    <sheetView zoomScale="70" workbookViewId="0"/>
  </sheetViews>
  <sheetFormatPr baseColWidth="10" defaultColWidth="9.1640625" defaultRowHeight="13"/>
  <cols>
    <col min="1" max="1" width="39.5" bestFit="1" customWidth="1"/>
    <col min="2" max="2" width="8.1640625" customWidth="1"/>
    <col min="3" max="3" width="2.5" customWidth="1"/>
    <col min="4" max="4" width="8.5" customWidth="1"/>
    <col min="5" max="5" width="2.5" customWidth="1"/>
    <col min="6" max="6" width="11.5" customWidth="1"/>
    <col min="7" max="7" width="2.5" customWidth="1"/>
    <col min="8" max="8" width="11.5" customWidth="1"/>
    <col min="9" max="9" width="2.5" customWidth="1"/>
    <col min="10" max="10" width="11.5" customWidth="1"/>
  </cols>
  <sheetData>
    <row r="1" spans="1:10" ht="16">
      <c r="A1" s="117" t="s">
        <v>710</v>
      </c>
    </row>
    <row r="2" spans="1:10" ht="16">
      <c r="A2" s="117" t="s">
        <v>780</v>
      </c>
    </row>
    <row r="3" spans="1:10" ht="5" customHeight="1">
      <c r="A3" s="346"/>
    </row>
    <row r="4" spans="1:10">
      <c r="A4" s="97" t="s">
        <v>185</v>
      </c>
      <c r="B4" s="151">
        <v>794.94389135215567</v>
      </c>
      <c r="C4" s="151"/>
    </row>
    <row r="5" spans="1:10" ht="28">
      <c r="A5" s="16" t="s">
        <v>249</v>
      </c>
      <c r="B5" s="152" t="s">
        <v>184</v>
      </c>
      <c r="C5" s="152"/>
      <c r="D5" s="152" t="s">
        <v>159</v>
      </c>
      <c r="E5" s="152"/>
      <c r="F5" s="135" t="s">
        <v>174</v>
      </c>
      <c r="G5" s="152"/>
      <c r="H5" s="152" t="s">
        <v>246</v>
      </c>
      <c r="I5" s="13"/>
      <c r="J5" s="152" t="s">
        <v>178</v>
      </c>
    </row>
    <row r="6" spans="1:10">
      <c r="A6" s="22" t="s">
        <v>175</v>
      </c>
      <c r="B6" s="75">
        <v>30</v>
      </c>
      <c r="C6" s="212" t="s">
        <v>233</v>
      </c>
      <c r="D6" s="83">
        <v>50.302011279693588</v>
      </c>
      <c r="E6" s="212" t="s">
        <v>233</v>
      </c>
      <c r="F6" s="88">
        <f>($B$4/B6*D6)/$B$4</f>
        <v>1.6767337093231196</v>
      </c>
      <c r="G6" s="83"/>
      <c r="H6" s="153">
        <v>1.2964363113082193</v>
      </c>
      <c r="I6" s="13"/>
      <c r="J6" s="88">
        <f>H6*F6</f>
        <v>2.1737784651610133</v>
      </c>
    </row>
    <row r="7" spans="1:10">
      <c r="A7" s="22" t="s">
        <v>176</v>
      </c>
      <c r="B7" s="75">
        <v>114.19779465085449</v>
      </c>
      <c r="C7" s="212" t="s">
        <v>233</v>
      </c>
      <c r="D7" s="83">
        <v>51.269399999999997</v>
      </c>
      <c r="E7" s="212" t="s">
        <v>233</v>
      </c>
      <c r="F7" s="88">
        <f>($B$4/B7*D7)/$B$4</f>
        <v>0.44895262782219036</v>
      </c>
      <c r="G7" s="83"/>
      <c r="H7" s="154">
        <v>3.5156084078143586</v>
      </c>
      <c r="I7" s="13"/>
      <c r="J7" s="88">
        <f>H7*F7</f>
        <v>1.578341633082043</v>
      </c>
    </row>
    <row r="8" spans="1:10">
      <c r="A8" s="22"/>
      <c r="B8" s="13"/>
      <c r="C8" s="13"/>
      <c r="D8" s="13"/>
      <c r="E8" s="13"/>
      <c r="F8" s="88"/>
      <c r="G8" s="108"/>
      <c r="H8" s="13"/>
      <c r="I8" s="13"/>
      <c r="J8" s="88"/>
    </row>
    <row r="9" spans="1:10">
      <c r="A9" s="14" t="s">
        <v>250</v>
      </c>
      <c r="B9" s="13"/>
      <c r="C9" s="13"/>
      <c r="D9" s="83" t="s">
        <v>101</v>
      </c>
      <c r="E9" s="83"/>
      <c r="F9" s="88">
        <v>4.8886850689771652E-2</v>
      </c>
      <c r="G9" s="219" t="s">
        <v>234</v>
      </c>
      <c r="H9" s="147">
        <v>1.7055951497654467</v>
      </c>
      <c r="I9" s="13"/>
      <c r="J9" s="88">
        <f>H9*F9</f>
        <v>8.3381175423782108E-2</v>
      </c>
    </row>
    <row r="10" spans="1:10">
      <c r="A10" s="79"/>
      <c r="B10" s="13"/>
      <c r="C10" s="13"/>
      <c r="D10" s="13"/>
      <c r="E10" s="13"/>
      <c r="F10" s="88"/>
      <c r="G10" s="108"/>
      <c r="H10" s="13"/>
      <c r="I10" s="13"/>
      <c r="J10" s="88"/>
    </row>
    <row r="11" spans="1:10">
      <c r="A11" s="16" t="s">
        <v>248</v>
      </c>
      <c r="B11" s="13"/>
      <c r="C11" s="13"/>
      <c r="D11" s="83"/>
      <c r="E11" s="83"/>
      <c r="F11" s="88"/>
      <c r="G11" s="108"/>
      <c r="H11" s="13"/>
      <c r="I11" s="13"/>
      <c r="J11" s="88"/>
    </row>
    <row r="12" spans="1:10">
      <c r="A12" s="22" t="s">
        <v>176</v>
      </c>
      <c r="B12" s="13"/>
      <c r="C12" s="13"/>
      <c r="D12" s="13"/>
      <c r="E12" s="13"/>
      <c r="F12" s="88"/>
      <c r="G12" s="83"/>
      <c r="H12" s="13"/>
      <c r="I12" s="13"/>
      <c r="J12" s="88"/>
    </row>
    <row r="13" spans="1:10" ht="14">
      <c r="A13" s="82" t="s">
        <v>148</v>
      </c>
      <c r="B13" s="75">
        <v>114.19779465085449</v>
      </c>
      <c r="C13" s="212" t="s">
        <v>233</v>
      </c>
      <c r="D13" s="83">
        <v>51.269399999999997</v>
      </c>
      <c r="E13" s="212" t="s">
        <v>233</v>
      </c>
      <c r="F13" s="88">
        <f>($B$4/B13*D13)/$B$4</f>
        <v>0.44895262782219036</v>
      </c>
      <c r="G13" s="83"/>
      <c r="H13" s="154">
        <v>3.5156084078143586</v>
      </c>
      <c r="I13" s="13"/>
      <c r="J13" s="88" t="s">
        <v>242</v>
      </c>
    </row>
    <row r="14" spans="1:10" ht="14">
      <c r="A14" s="82" t="s">
        <v>147</v>
      </c>
      <c r="B14" s="75">
        <v>167.55812153748252</v>
      </c>
      <c r="C14" s="212" t="s">
        <v>233</v>
      </c>
      <c r="D14" s="83">
        <v>51.269399999999997</v>
      </c>
      <c r="E14" s="212" t="s">
        <v>233</v>
      </c>
      <c r="F14" s="88">
        <f>($B$4/B14*D14)/$B$4</f>
        <v>0.30597979691799726</v>
      </c>
      <c r="G14" s="83"/>
      <c r="H14" s="154">
        <v>3.5156084078143586</v>
      </c>
      <c r="I14" s="13"/>
      <c r="J14" s="88">
        <f>H14*F14</f>
        <v>1.0757051466662411</v>
      </c>
    </row>
    <row r="15" spans="1:10">
      <c r="A15" s="22" t="s">
        <v>177</v>
      </c>
      <c r="B15" s="75">
        <v>504.83575730706781</v>
      </c>
      <c r="C15" s="212" t="s">
        <v>233</v>
      </c>
      <c r="D15" s="83">
        <v>51.269399999999997</v>
      </c>
      <c r="E15" s="212" t="s">
        <v>233</v>
      </c>
      <c r="F15" s="88">
        <v>0.10155659391776252</v>
      </c>
      <c r="G15" s="83"/>
      <c r="H15" s="154">
        <v>3.5156084078143586</v>
      </c>
      <c r="I15" s="13"/>
      <c r="J15" s="88">
        <f>H15*F15</f>
        <v>0.35703321544627448</v>
      </c>
    </row>
    <row r="16" spans="1:10">
      <c r="B16" s="108"/>
      <c r="C16" s="108"/>
      <c r="D16" s="83"/>
      <c r="E16" s="83"/>
      <c r="F16" s="88"/>
      <c r="G16" s="13"/>
      <c r="H16" s="13"/>
      <c r="I16" s="13"/>
      <c r="J16" s="88"/>
    </row>
    <row r="17" spans="1:10">
      <c r="A17" s="14" t="s">
        <v>97</v>
      </c>
      <c r="B17" s="13"/>
      <c r="C17" s="13"/>
      <c r="D17" s="13"/>
      <c r="E17" s="13"/>
      <c r="F17" s="88">
        <f>SUM(F6:F15)</f>
        <v>3.0310622064930315</v>
      </c>
      <c r="G17" s="83"/>
      <c r="H17" s="13"/>
      <c r="I17" s="13"/>
      <c r="J17" s="88">
        <f>SUM(J6:J15)</f>
        <v>5.2682396357793539</v>
      </c>
    </row>
    <row r="18" spans="1:10" hidden="1">
      <c r="B18" s="13"/>
      <c r="C18" s="13"/>
      <c r="D18" s="13"/>
      <c r="E18" s="13"/>
      <c r="F18" s="13"/>
      <c r="G18" s="13"/>
      <c r="H18" s="13"/>
      <c r="I18" s="13"/>
      <c r="J18" s="13"/>
    </row>
    <row r="19" spans="1:10" hidden="1">
      <c r="B19" s="89"/>
      <c r="C19" s="89"/>
      <c r="D19" s="90" t="s">
        <v>183</v>
      </c>
      <c r="E19" s="90"/>
      <c r="F19" s="91">
        <v>0</v>
      </c>
      <c r="G19" s="81"/>
    </row>
    <row r="20" spans="1:10">
      <c r="A20" s="204"/>
      <c r="B20" s="204"/>
      <c r="C20" s="204"/>
      <c r="D20" s="204"/>
      <c r="E20" s="204"/>
    </row>
    <row r="21" spans="1:10">
      <c r="A21" t="s">
        <v>230</v>
      </c>
    </row>
    <row r="22" spans="1:10">
      <c r="A22" s="17" t="s">
        <v>781</v>
      </c>
    </row>
    <row r="23" spans="1:10">
      <c r="A23" s="17" t="s">
        <v>808</v>
      </c>
    </row>
    <row r="24" spans="1:10">
      <c r="A24" s="17" t="s">
        <v>697</v>
      </c>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pageSetUpPr fitToPage="1"/>
  </sheetPr>
  <dimension ref="A1:D38"/>
  <sheetViews>
    <sheetView zoomScale="70" workbookViewId="0"/>
  </sheetViews>
  <sheetFormatPr baseColWidth="10" defaultColWidth="8.83203125" defaultRowHeight="13"/>
  <cols>
    <col min="1" max="1" width="45.5" bestFit="1" customWidth="1"/>
    <col min="2" max="2" width="15.83203125" customWidth="1"/>
    <col min="3" max="3" width="3.5" customWidth="1"/>
  </cols>
  <sheetData>
    <row r="1" spans="1:3" ht="16">
      <c r="A1" s="117" t="s">
        <v>711</v>
      </c>
      <c r="B1" s="15"/>
    </row>
    <row r="2" spans="1:3" ht="16">
      <c r="A2" s="117" t="s">
        <v>780</v>
      </c>
      <c r="B2" s="15"/>
    </row>
    <row r="3" spans="1:3" ht="5" customHeight="1">
      <c r="A3" s="5"/>
    </row>
    <row r="4" spans="1:3">
      <c r="A4" t="s">
        <v>106</v>
      </c>
      <c r="B4" s="21">
        <v>1.0360078863380962</v>
      </c>
      <c r="C4" s="17" t="s">
        <v>231</v>
      </c>
    </row>
    <row r="5" spans="1:3">
      <c r="A5" t="s">
        <v>107</v>
      </c>
      <c r="B5" s="21">
        <v>8.3373400462591807</v>
      </c>
      <c r="C5" s="17" t="s">
        <v>233</v>
      </c>
    </row>
    <row r="6" spans="1:3">
      <c r="B6" s="13"/>
    </row>
    <row r="7" spans="1:3">
      <c r="A7" s="12" t="s">
        <v>659</v>
      </c>
      <c r="B7" s="83">
        <f>'Table 3.40-Form Processing'!J4</f>
        <v>0.15646135798785091</v>
      </c>
      <c r="C7" s="11" t="s">
        <v>234</v>
      </c>
    </row>
    <row r="8" spans="1:3">
      <c r="A8" s="11" t="s">
        <v>660</v>
      </c>
      <c r="B8" s="83">
        <f>'Table 3.40-Form Processing'!J6</f>
        <v>5.4868524706610092E-2</v>
      </c>
      <c r="C8" s="11" t="s">
        <v>234</v>
      </c>
    </row>
    <row r="10" spans="1:3">
      <c r="A10" t="s">
        <v>108</v>
      </c>
      <c r="B10" s="23"/>
    </row>
    <row r="11" spans="1:3">
      <c r="A11" s="22" t="s">
        <v>255</v>
      </c>
      <c r="B11" s="86">
        <f>'Table 3.38-Form 3547 Dist'!I25</f>
        <v>0.19873217154474429</v>
      </c>
      <c r="C11" s="11" t="s">
        <v>235</v>
      </c>
    </row>
    <row r="12" spans="1:3">
      <c r="A12" s="79" t="s">
        <v>115</v>
      </c>
      <c r="B12" s="86">
        <f>'Table 3.38-Form 3547 Dist'!I26</f>
        <v>0.65688235321798083</v>
      </c>
      <c r="C12" s="11" t="s">
        <v>235</v>
      </c>
    </row>
    <row r="13" spans="1:3">
      <c r="A13" s="22" t="s">
        <v>254</v>
      </c>
      <c r="B13" s="86">
        <f>'Table 3.38-Form 3547 Dist'!I27</f>
        <v>0.14438547523727488</v>
      </c>
      <c r="C13" s="11" t="s">
        <v>235</v>
      </c>
    </row>
    <row r="15" spans="1:3">
      <c r="A15" s="11" t="s">
        <v>732</v>
      </c>
      <c r="B15" s="6">
        <f>'Table 3.38-Form 3547 Dist'!B28*1000</f>
        <v>42830580.998987511</v>
      </c>
      <c r="C15" s="11" t="s">
        <v>236</v>
      </c>
    </row>
    <row r="16" spans="1:3">
      <c r="A16" s="11" t="s">
        <v>733</v>
      </c>
      <c r="B16" s="10">
        <f>'Table 3.38-Form 3547 Dist'!E28*1000</f>
        <v>3307623.7828628523</v>
      </c>
      <c r="C16" s="11" t="s">
        <v>237</v>
      </c>
    </row>
    <row r="17" spans="1:4">
      <c r="A17" s="12" t="s">
        <v>110</v>
      </c>
      <c r="B17" s="6">
        <f>SUM(B15:B16)</f>
        <v>46138204.78185036</v>
      </c>
      <c r="C17" s="11"/>
    </row>
    <row r="18" spans="1:4">
      <c r="B18" s="6"/>
      <c r="C18" s="11"/>
    </row>
    <row r="19" spans="1:4">
      <c r="A19" s="11" t="s">
        <v>734</v>
      </c>
      <c r="B19" s="6">
        <v>5207618.7512668781</v>
      </c>
      <c r="C19" s="11" t="s">
        <v>236</v>
      </c>
      <c r="D19" s="11"/>
    </row>
    <row r="20" spans="1:4">
      <c r="A20" s="11" t="s">
        <v>735</v>
      </c>
      <c r="B20" s="10">
        <v>4052169.4465523008</v>
      </c>
      <c r="C20" s="11" t="s">
        <v>237</v>
      </c>
    </row>
    <row r="21" spans="1:4">
      <c r="A21" s="11" t="s">
        <v>111</v>
      </c>
      <c r="B21" s="6">
        <f>SUM(B19:B20)</f>
        <v>9259788.1978191789</v>
      </c>
      <c r="C21" s="11"/>
    </row>
    <row r="22" spans="1:4">
      <c r="B22" s="6"/>
      <c r="C22" s="11"/>
    </row>
    <row r="23" spans="1:4">
      <c r="A23" t="s">
        <v>256</v>
      </c>
      <c r="B23" s="24">
        <f>SUM(B17,B21)</f>
        <v>55397992.979669541</v>
      </c>
    </row>
    <row r="24" spans="1:4">
      <c r="B24" s="6"/>
    </row>
    <row r="25" spans="1:4">
      <c r="A25" s="11" t="s">
        <v>46</v>
      </c>
      <c r="B25" s="6">
        <f>'Table 3.1-UAA Summary'!L51*1000</f>
        <v>609178404.96362209</v>
      </c>
      <c r="C25" s="11"/>
    </row>
    <row r="26" spans="1:4">
      <c r="A26" s="11" t="s">
        <v>47</v>
      </c>
      <c r="B26" s="6">
        <f>'Table 3.1-UAA Summary'!L50*1000</f>
        <v>226164420.81786937</v>
      </c>
      <c r="C26" s="11"/>
    </row>
    <row r="28" spans="1:4">
      <c r="A28" s="11" t="s">
        <v>345</v>
      </c>
      <c r="B28" s="25">
        <v>51.269399999999997</v>
      </c>
      <c r="C28" s="11" t="s">
        <v>238</v>
      </c>
    </row>
    <row r="29" spans="1:4">
      <c r="A29" s="204"/>
      <c r="B29" s="204"/>
    </row>
    <row r="30" spans="1:4">
      <c r="A30" t="s">
        <v>230</v>
      </c>
    </row>
    <row r="31" spans="1:4">
      <c r="A31" s="17" t="s">
        <v>810</v>
      </c>
    </row>
    <row r="32" spans="1:4">
      <c r="A32" s="17" t="s">
        <v>13</v>
      </c>
    </row>
    <row r="33" spans="1:1">
      <c r="A33" s="11" t="s">
        <v>691</v>
      </c>
    </row>
    <row r="34" spans="1:1">
      <c r="A34" s="11" t="s">
        <v>698</v>
      </c>
    </row>
    <row r="35" spans="1:1">
      <c r="A35" s="17" t="s">
        <v>811</v>
      </c>
    </row>
    <row r="36" spans="1:1">
      <c r="A36" s="17" t="s">
        <v>812</v>
      </c>
    </row>
    <row r="37" spans="1:1">
      <c r="A37" s="17" t="s">
        <v>809</v>
      </c>
    </row>
    <row r="38" spans="1:1">
      <c r="A38" s="11" t="s">
        <v>48</v>
      </c>
    </row>
  </sheetData>
  <phoneticPr fontId="0" type="noConversion"/>
  <printOptions horizontalCentered="1"/>
  <pageMargins left="0.75" right="0.75" top="1" bottom="1" header="0.5" footer="0.5"/>
  <pageSetup scale="99" orientation="landscape" r:id="rId1"/>
  <headerFooter alignWithMargins="0">
    <oddFooter>&amp;L&amp;F</oddFoot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2">
    <pageSetUpPr fitToPage="1"/>
  </sheetPr>
  <dimension ref="A1:I164"/>
  <sheetViews>
    <sheetView zoomScale="70" workbookViewId="0"/>
  </sheetViews>
  <sheetFormatPr baseColWidth="10" defaultColWidth="9.1640625" defaultRowHeight="13"/>
  <cols>
    <col min="1" max="1" width="19.5" bestFit="1" customWidth="1"/>
    <col min="2" max="2" width="15.5" customWidth="1"/>
    <col min="3" max="3" width="13.1640625" customWidth="1"/>
    <col min="4" max="4" width="3.5" customWidth="1"/>
    <col min="5" max="5" width="15.5" customWidth="1"/>
    <col min="6" max="6" width="14.83203125" customWidth="1"/>
    <col min="7" max="7" width="3.5" customWidth="1"/>
    <col min="8" max="8" width="15.5" customWidth="1"/>
    <col min="9" max="9" width="14.83203125" customWidth="1"/>
  </cols>
  <sheetData>
    <row r="1" spans="1:9" ht="15.75" customHeight="1">
      <c r="A1" s="117" t="s">
        <v>716</v>
      </c>
    </row>
    <row r="2" spans="1:9" ht="15.75" customHeight="1">
      <c r="A2" s="117" t="s">
        <v>780</v>
      </c>
    </row>
    <row r="3" spans="1:9" ht="12.75" customHeight="1"/>
    <row r="4" spans="1:9" ht="12.75" customHeight="1">
      <c r="B4" s="77" t="s">
        <v>717</v>
      </c>
      <c r="C4" s="77"/>
      <c r="D4" s="77"/>
      <c r="E4" s="77" t="s">
        <v>717</v>
      </c>
      <c r="F4" s="77"/>
    </row>
    <row r="5" spans="1:9" ht="12.75" customHeight="1">
      <c r="B5" s="408" t="s">
        <v>718</v>
      </c>
      <c r="C5" s="77"/>
      <c r="D5" s="77"/>
      <c r="E5" s="408" t="s">
        <v>719</v>
      </c>
      <c r="F5" s="77"/>
      <c r="H5" s="409" t="s">
        <v>720</v>
      </c>
      <c r="I5" s="77"/>
    </row>
    <row r="6" spans="1:9" ht="12.75" customHeight="1">
      <c r="A6" s="72" t="s">
        <v>721</v>
      </c>
      <c r="B6" s="410" t="s">
        <v>722</v>
      </c>
      <c r="C6" s="155" t="s">
        <v>167</v>
      </c>
      <c r="D6" s="155"/>
      <c r="E6" s="410" t="s">
        <v>723</v>
      </c>
      <c r="F6" s="155" t="s">
        <v>167</v>
      </c>
      <c r="H6" s="411" t="s">
        <v>98</v>
      </c>
      <c r="I6" s="155" t="s">
        <v>167</v>
      </c>
    </row>
    <row r="7" spans="1:9" ht="12.75" customHeight="1">
      <c r="A7" s="22" t="s">
        <v>255</v>
      </c>
      <c r="B7" s="24">
        <v>6892.955099735299</v>
      </c>
      <c r="C7" s="412">
        <f>B7/B$10</f>
        <v>0.24843188574672215</v>
      </c>
      <c r="D7" s="412"/>
      <c r="E7" s="24">
        <v>0</v>
      </c>
      <c r="F7" s="412">
        <f>E7/E$10</f>
        <v>0</v>
      </c>
      <c r="H7" s="6">
        <f>B7+E7</f>
        <v>6892.955099735299</v>
      </c>
      <c r="I7" s="412">
        <f>H7/H$10</f>
        <v>0.23062193372100812</v>
      </c>
    </row>
    <row r="8" spans="1:9" ht="12.75" customHeight="1">
      <c r="A8" s="79" t="s">
        <v>115</v>
      </c>
      <c r="B8" s="24">
        <v>19334.500519781384</v>
      </c>
      <c r="C8" s="412">
        <f>B8/B$10</f>
        <v>0.69684284238043626</v>
      </c>
      <c r="D8" s="412"/>
      <c r="E8" s="24">
        <v>1986.6746530154376</v>
      </c>
      <c r="F8" s="412">
        <f>E8/E$10</f>
        <v>0.92718521337588411</v>
      </c>
      <c r="H8" s="6">
        <f>B8+E8</f>
        <v>21321.175172796822</v>
      </c>
      <c r="I8" s="412">
        <f>H8/H$10</f>
        <v>0.7133559665496122</v>
      </c>
    </row>
    <row r="9" spans="1:9" ht="12.75" customHeight="1">
      <c r="A9" s="22" t="s">
        <v>254</v>
      </c>
      <c r="B9" s="24">
        <v>1518.3994627198572</v>
      </c>
      <c r="C9" s="412">
        <f>B9/B$10</f>
        <v>5.4725271872841548E-2</v>
      </c>
      <c r="D9" s="412"/>
      <c r="E9" s="24">
        <v>156.0198424909664</v>
      </c>
      <c r="F9" s="412">
        <f>E9/E$10</f>
        <v>7.2814786624115863E-2</v>
      </c>
      <c r="H9" s="6">
        <f>B9+E9</f>
        <v>1674.4193052108235</v>
      </c>
      <c r="I9" s="412">
        <f>H9/H$10</f>
        <v>5.6022099729379653E-2</v>
      </c>
    </row>
    <row r="10" spans="1:9" ht="12.75" customHeight="1">
      <c r="A10" s="5" t="s">
        <v>97</v>
      </c>
      <c r="B10" s="24">
        <f>SUM(B7:B9)</f>
        <v>27745.855082236543</v>
      </c>
      <c r="C10" s="248">
        <f>SUM(C7:C9)</f>
        <v>1</v>
      </c>
      <c r="D10" s="248"/>
      <c r="E10" s="24">
        <f>SUM(E7:E9)</f>
        <v>2142.6944955064041</v>
      </c>
      <c r="F10" s="248">
        <f>SUM(F7:F9)</f>
        <v>1</v>
      </c>
      <c r="H10" s="6">
        <f>SUM(H7:H9)</f>
        <v>29888.549577742946</v>
      </c>
      <c r="I10" s="248">
        <f>SUM(I7:I9)</f>
        <v>1</v>
      </c>
    </row>
    <row r="11" spans="1:9" ht="12.75" customHeight="1"/>
    <row r="12" spans="1:9" ht="12.75" customHeight="1"/>
    <row r="13" spans="1:9" ht="12.75" customHeight="1">
      <c r="B13" s="77" t="s">
        <v>724</v>
      </c>
      <c r="C13" s="77"/>
      <c r="E13" s="77" t="s">
        <v>724</v>
      </c>
      <c r="F13" s="77"/>
    </row>
    <row r="14" spans="1:9" ht="12.75" customHeight="1">
      <c r="B14" s="408" t="s">
        <v>725</v>
      </c>
      <c r="C14" s="77"/>
      <c r="E14" s="408" t="s">
        <v>726</v>
      </c>
      <c r="F14" s="77"/>
      <c r="H14" s="408" t="s">
        <v>727</v>
      </c>
      <c r="I14" s="77"/>
    </row>
    <row r="15" spans="1:9" ht="12.75" customHeight="1">
      <c r="A15" s="72" t="s">
        <v>721</v>
      </c>
      <c r="B15" s="410" t="s">
        <v>722</v>
      </c>
      <c r="C15" s="155" t="s">
        <v>167</v>
      </c>
      <c r="E15" s="410" t="s">
        <v>723</v>
      </c>
      <c r="F15" s="155" t="s">
        <v>167</v>
      </c>
      <c r="H15" s="411" t="s">
        <v>98</v>
      </c>
      <c r="I15" s="155" t="s">
        <v>167</v>
      </c>
    </row>
    <row r="16" spans="1:9" ht="12.75" customHeight="1">
      <c r="A16" s="22" t="s">
        <v>255</v>
      </c>
      <c r="B16" s="24">
        <v>2276.1905277379292</v>
      </c>
      <c r="C16" s="412">
        <f>B16/B$19</f>
        <v>0.15089372788737998</v>
      </c>
      <c r="E16" s="24">
        <v>0</v>
      </c>
      <c r="F16" s="412">
        <f>E16/E$19</f>
        <v>0</v>
      </c>
      <c r="H16" s="6">
        <f>B16+E16</f>
        <v>2276.1905277379292</v>
      </c>
      <c r="I16" s="412">
        <f>H16/H$19</f>
        <v>0.14007623541221831</v>
      </c>
    </row>
    <row r="17" spans="1:9" ht="12.75" customHeight="1">
      <c r="A17" s="79" t="s">
        <v>115</v>
      </c>
      <c r="B17" s="24">
        <v>8237.0428188496753</v>
      </c>
      <c r="C17" s="412">
        <f>B17/B$19</f>
        <v>0.54605187156253054</v>
      </c>
      <c r="E17" s="24">
        <v>749.15453870846397</v>
      </c>
      <c r="F17" s="412">
        <f>E17/E$19</f>
        <v>0.64309014018224753</v>
      </c>
      <c r="H17" s="6">
        <f>B17+E17</f>
        <v>8986.1973575581396</v>
      </c>
      <c r="I17" s="412">
        <f>H17/H$19</f>
        <v>0.55300849431480259</v>
      </c>
    </row>
    <row r="18" spans="1:9" ht="12.75" customHeight="1">
      <c r="A18" s="22" t="s">
        <v>254</v>
      </c>
      <c r="B18" s="24">
        <v>4571.4925701633656</v>
      </c>
      <c r="C18" s="412">
        <f>B18/B$19</f>
        <v>0.30305440055008959</v>
      </c>
      <c r="E18" s="24">
        <v>415.77474864798415</v>
      </c>
      <c r="F18" s="412">
        <f>E18/E$19</f>
        <v>0.35690985981775242</v>
      </c>
      <c r="H18" s="6">
        <f>B18+E18</f>
        <v>4987.2673188113495</v>
      </c>
      <c r="I18" s="412">
        <f>H18/H$19</f>
        <v>0.30691527027297905</v>
      </c>
    </row>
    <row r="19" spans="1:9" ht="12.75" customHeight="1">
      <c r="A19" s="5" t="s">
        <v>97</v>
      </c>
      <c r="B19" s="24">
        <f>SUM(B16:B18)</f>
        <v>15084.725916750969</v>
      </c>
      <c r="C19" s="248">
        <f>SUM(C16:C18)</f>
        <v>1</v>
      </c>
      <c r="E19" s="24">
        <f>SUM(E16:E18)</f>
        <v>1164.9292873564482</v>
      </c>
      <c r="F19" s="248">
        <f>SUM(F16:F18)</f>
        <v>1</v>
      </c>
      <c r="H19" s="6">
        <f>SUM(H16:H18)</f>
        <v>16249.655204107419</v>
      </c>
      <c r="I19" s="248">
        <f>SUM(I16:I18)</f>
        <v>0.99999999999999989</v>
      </c>
    </row>
    <row r="20" spans="1:9" ht="12.75" customHeight="1">
      <c r="A20" s="5"/>
      <c r="B20" s="24"/>
      <c r="C20" s="248"/>
      <c r="E20" s="24"/>
      <c r="F20" s="248"/>
      <c r="H20" s="6"/>
      <c r="I20" s="248"/>
    </row>
    <row r="21" spans="1:9" ht="12.75" customHeight="1">
      <c r="A21" s="5"/>
      <c r="B21" s="24"/>
      <c r="C21" s="248"/>
      <c r="E21" s="24"/>
      <c r="F21" s="248"/>
      <c r="H21" s="6"/>
      <c r="I21" s="248"/>
    </row>
    <row r="22" spans="1:9" ht="12.75" customHeight="1">
      <c r="B22" s="77" t="s">
        <v>728</v>
      </c>
      <c r="C22" s="77"/>
      <c r="E22" s="77" t="s">
        <v>728</v>
      </c>
      <c r="F22" s="77"/>
    </row>
    <row r="23" spans="1:9" ht="12.75" customHeight="1">
      <c r="B23" s="408" t="s">
        <v>725</v>
      </c>
      <c r="C23" s="77"/>
      <c r="E23" s="408" t="s">
        <v>726</v>
      </c>
      <c r="F23" s="77"/>
      <c r="H23" s="408" t="s">
        <v>729</v>
      </c>
      <c r="I23" s="77"/>
    </row>
    <row r="24" spans="1:9" ht="12.75" customHeight="1">
      <c r="A24" s="72" t="s">
        <v>721</v>
      </c>
      <c r="B24" s="410" t="s">
        <v>722</v>
      </c>
      <c r="C24" s="155" t="s">
        <v>167</v>
      </c>
      <c r="E24" s="410" t="s">
        <v>723</v>
      </c>
      <c r="F24" s="155" t="s">
        <v>167</v>
      </c>
      <c r="H24" s="411" t="s">
        <v>98</v>
      </c>
      <c r="I24" s="155" t="s">
        <v>167</v>
      </c>
    </row>
    <row r="25" spans="1:9" ht="12.75" customHeight="1">
      <c r="A25" s="22" t="s">
        <v>255</v>
      </c>
      <c r="B25" s="24">
        <f>SUM(B7,B16)</f>
        <v>9169.1456274732282</v>
      </c>
      <c r="C25" s="412">
        <f>B25/B$28</f>
        <v>0.21407941273759468</v>
      </c>
      <c r="E25" s="24">
        <f>SUM(E7,E16)</f>
        <v>0</v>
      </c>
      <c r="F25" s="412">
        <f>E25/E$28</f>
        <v>0</v>
      </c>
      <c r="H25" s="6">
        <f>B25+E25</f>
        <v>9169.1456274732282</v>
      </c>
      <c r="I25" s="412">
        <f>H25/H$28</f>
        <v>0.19873217154474429</v>
      </c>
    </row>
    <row r="26" spans="1:9" ht="12.75" customHeight="1">
      <c r="A26" s="79" t="s">
        <v>115</v>
      </c>
      <c r="B26" s="24">
        <f>SUM(B8,B17)</f>
        <v>27571.543338631061</v>
      </c>
      <c r="C26" s="412">
        <f>B26/B$28</f>
        <v>0.64373498317201994</v>
      </c>
      <c r="E26" s="24">
        <f>SUM(E8,E17)</f>
        <v>2735.8291917239017</v>
      </c>
      <c r="F26" s="412">
        <f>E26/E$28</f>
        <v>0.82712828644494618</v>
      </c>
      <c r="H26" s="6">
        <f>B26+E26</f>
        <v>30307.372530354962</v>
      </c>
      <c r="I26" s="412">
        <f>H26/H$28</f>
        <v>0.65688235321798083</v>
      </c>
    </row>
    <row r="27" spans="1:9" ht="12.75" customHeight="1">
      <c r="A27" s="22" t="s">
        <v>254</v>
      </c>
      <c r="B27" s="24">
        <f>SUM(B9,B18)</f>
        <v>6089.8920328832228</v>
      </c>
      <c r="C27" s="412">
        <f>B27/B$28</f>
        <v>0.14218560409038541</v>
      </c>
      <c r="E27" s="24">
        <f>SUM(E9,E18)</f>
        <v>571.79459113895052</v>
      </c>
      <c r="F27" s="412">
        <f>E27/E$28</f>
        <v>0.17287171355505382</v>
      </c>
      <c r="H27" s="6">
        <f>B27+E27</f>
        <v>6661.6866240221734</v>
      </c>
      <c r="I27" s="412">
        <f>H27/H$28</f>
        <v>0.14438547523727488</v>
      </c>
    </row>
    <row r="28" spans="1:9" ht="12.75" customHeight="1">
      <c r="A28" s="5" t="s">
        <v>97</v>
      </c>
      <c r="B28" s="24">
        <f>SUM(B25:B27)</f>
        <v>42830.580998987512</v>
      </c>
      <c r="C28" s="248">
        <f>SUM(C25:C27)</f>
        <v>1</v>
      </c>
      <c r="E28" s="24">
        <f>SUM(E25:E27)</f>
        <v>3307.6237828628523</v>
      </c>
      <c r="F28" s="248">
        <f>SUM(F25:F27)</f>
        <v>1</v>
      </c>
      <c r="H28" s="6">
        <f>SUM(H25:H27)</f>
        <v>46138.204781850363</v>
      </c>
      <c r="I28" s="248">
        <f>SUM(I25:I27)</f>
        <v>1</v>
      </c>
    </row>
    <row r="29" spans="1:9" ht="12.75" customHeight="1">
      <c r="A29" s="103"/>
      <c r="B29" s="203"/>
    </row>
    <row r="30" spans="1:9" ht="12.75" customHeight="1">
      <c r="A30" s="4" t="s">
        <v>230</v>
      </c>
      <c r="B30" s="24"/>
    </row>
    <row r="31" spans="1:9" ht="12.75" customHeight="1">
      <c r="A31" s="17" t="s">
        <v>795</v>
      </c>
      <c r="B31" s="24"/>
    </row>
    <row r="32" spans="1:9" ht="12.75" customHeight="1">
      <c r="A32" s="17" t="s">
        <v>813</v>
      </c>
    </row>
    <row r="33" spans="1:1" ht="12.75" customHeight="1">
      <c r="A33" s="11" t="s">
        <v>730</v>
      </c>
    </row>
    <row r="34" spans="1:1" ht="12.75" customHeight="1">
      <c r="A34" s="11" t="s">
        <v>731</v>
      </c>
    </row>
    <row r="35" spans="1:1" ht="12.75" customHeight="1"/>
    <row r="36" spans="1:1" ht="12.75" customHeight="1"/>
    <row r="37" spans="1:1" ht="12.75" customHeight="1"/>
    <row r="38" spans="1:1" ht="12.75" customHeight="1"/>
    <row r="39" spans="1:1" ht="12.75" customHeight="1"/>
    <row r="40" spans="1:1" ht="12.75" customHeight="1"/>
    <row r="41" spans="1:1" ht="12.75" customHeight="1"/>
    <row r="42" spans="1:1" ht="12.75" customHeight="1"/>
    <row r="43" spans="1:1" ht="12.75" customHeight="1"/>
    <row r="44" spans="1:1" ht="12.75" customHeight="1"/>
    <row r="45" spans="1:1" ht="12.75" customHeight="1"/>
    <row r="46" spans="1:1" ht="12.75" customHeight="1"/>
    <row r="47" spans="1:1" ht="12.75" customHeight="1"/>
    <row r="48" spans="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9">
    <pageSetUpPr fitToPage="1"/>
  </sheetPr>
  <dimension ref="A1:C14"/>
  <sheetViews>
    <sheetView zoomScale="70" workbookViewId="0"/>
  </sheetViews>
  <sheetFormatPr baseColWidth="10" defaultColWidth="9.1640625" defaultRowHeight="13"/>
  <cols>
    <col min="1" max="1" width="13.5" customWidth="1"/>
    <col min="2" max="3" width="11.5" customWidth="1"/>
  </cols>
  <sheetData>
    <row r="1" spans="1:3" ht="15.75" customHeight="1">
      <c r="A1" s="117" t="s">
        <v>758</v>
      </c>
    </row>
    <row r="2" spans="1:3" ht="15.75" customHeight="1">
      <c r="A2" s="117" t="s">
        <v>780</v>
      </c>
    </row>
    <row r="3" spans="1:3" ht="5" customHeight="1">
      <c r="A3" s="223"/>
    </row>
    <row r="4" spans="1:3" ht="28">
      <c r="A4" s="326" t="s">
        <v>352</v>
      </c>
      <c r="B4" s="125" t="s">
        <v>245</v>
      </c>
      <c r="C4" s="155" t="s">
        <v>167</v>
      </c>
    </row>
    <row r="5" spans="1:3">
      <c r="A5" t="s">
        <v>314</v>
      </c>
      <c r="B5" s="34">
        <f>'Table 3.37-Notice Inputs'!B19/1000</f>
        <v>5207.6187512668785</v>
      </c>
      <c r="C5" s="40">
        <f>B5/B7</f>
        <v>0.56239069836320355</v>
      </c>
    </row>
    <row r="6" spans="1:3">
      <c r="A6" t="s">
        <v>313</v>
      </c>
      <c r="B6" s="34">
        <f>'Table 3.37-Notice Inputs'!B20/1000</f>
        <v>4052.169446552301</v>
      </c>
      <c r="C6" s="58">
        <f>B6/B7</f>
        <v>0.4376093016367964</v>
      </c>
    </row>
    <row r="7" spans="1:3">
      <c r="A7" t="s">
        <v>97</v>
      </c>
      <c r="B7" s="24">
        <f>SUM(B5:B6)</f>
        <v>9259.7881978191799</v>
      </c>
      <c r="C7" s="421">
        <f>SUM(C5:C6)</f>
        <v>1</v>
      </c>
    </row>
    <row r="8" spans="1:3">
      <c r="A8" s="103"/>
      <c r="B8" s="203"/>
      <c r="C8" s="348"/>
    </row>
    <row r="9" spans="1:3">
      <c r="A9" s="4" t="s">
        <v>230</v>
      </c>
      <c r="B9" s="24"/>
      <c r="C9" s="57"/>
    </row>
    <row r="10" spans="1:3">
      <c r="A10" s="17" t="s">
        <v>768</v>
      </c>
      <c r="B10" s="24"/>
      <c r="C10" s="57"/>
    </row>
    <row r="11" spans="1:3">
      <c r="A11" s="4"/>
      <c r="B11" s="24"/>
      <c r="C11" s="57"/>
    </row>
    <row r="12" spans="1:3">
      <c r="A12" s="4"/>
      <c r="B12" s="24"/>
      <c r="C12" s="57"/>
    </row>
    <row r="13" spans="1:3">
      <c r="A13" s="4"/>
      <c r="B13" s="24"/>
      <c r="C13" s="57"/>
    </row>
    <row r="14" spans="1:3">
      <c r="A14" s="4"/>
      <c r="B14" s="24"/>
      <c r="C14" s="57"/>
    </row>
  </sheetData>
  <phoneticPr fontId="5" type="noConversion"/>
  <printOptions horizontalCentered="1"/>
  <pageMargins left="0.75" right="0.75" top="1" bottom="1" header="0.5" footer="0.5"/>
  <pageSetup orientation="landscape" r:id="rId1"/>
  <headerFooter alignWithMargins="0">
    <oddFooter>&amp;L&amp;F</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7">
    <pageSetUpPr fitToPage="1"/>
  </sheetPr>
  <dimension ref="A1:O18"/>
  <sheetViews>
    <sheetView zoomScale="70" workbookViewId="0"/>
  </sheetViews>
  <sheetFormatPr baseColWidth="10" defaultColWidth="7.83203125" defaultRowHeight="13"/>
  <cols>
    <col min="1" max="1" width="28.1640625" style="4" customWidth="1"/>
    <col min="2" max="2" width="26.5" style="4" customWidth="1"/>
    <col min="3" max="3" width="2.5" style="4" customWidth="1"/>
    <col min="4" max="4" width="12.5" style="4" customWidth="1"/>
    <col min="5" max="5" width="2.5" style="4" customWidth="1"/>
    <col min="6" max="6" width="25.83203125" style="28" customWidth="1"/>
    <col min="7" max="7" width="2.5" style="4" customWidth="1"/>
    <col min="8" max="8" width="12.5" style="4" customWidth="1"/>
    <col min="9" max="9" width="2.5" style="4" customWidth="1"/>
    <col min="10" max="10" width="11.5" style="4" customWidth="1"/>
    <col min="11" max="13" width="7.83203125" style="4" customWidth="1"/>
    <col min="14" max="15" width="9.5" style="4" customWidth="1"/>
    <col min="16" max="16384" width="7.83203125" style="4"/>
  </cols>
  <sheetData>
    <row r="1" spans="1:15" ht="16">
      <c r="A1" s="117" t="s">
        <v>712</v>
      </c>
      <c r="B1" s="1"/>
      <c r="C1" s="1"/>
      <c r="D1" s="1"/>
      <c r="E1" s="1"/>
      <c r="F1" s="1"/>
    </row>
    <row r="2" spans="1:15" ht="16">
      <c r="A2" s="117" t="s">
        <v>780</v>
      </c>
      <c r="B2" s="1"/>
      <c r="C2" s="1"/>
      <c r="D2" s="1"/>
      <c r="E2" s="1"/>
      <c r="F2" s="1"/>
    </row>
    <row r="3" spans="1:15" ht="28">
      <c r="B3" s="9" t="s">
        <v>738</v>
      </c>
      <c r="C3" s="9"/>
      <c r="D3" s="9" t="s">
        <v>450</v>
      </c>
      <c r="E3" s="9"/>
      <c r="F3" s="9" t="s">
        <v>451</v>
      </c>
      <c r="H3" s="207" t="s">
        <v>251</v>
      </c>
      <c r="I3" s="72"/>
      <c r="J3" s="3" t="s">
        <v>129</v>
      </c>
    </row>
    <row r="4" spans="1:15">
      <c r="A4" s="14" t="s">
        <v>736</v>
      </c>
      <c r="B4" s="73">
        <f>SUM('Table 3.29-UAA MP Units'!B22:C22)/SUM('Table 3.29-UAA MP Units'!B27:C27)+'Table 3.29-UAA MP Units'!B12</f>
        <v>9.5037325126582903E-2</v>
      </c>
      <c r="C4" s="206" t="s">
        <v>231</v>
      </c>
      <c r="D4" s="162">
        <f>'Table 3.37-Notice Inputs'!B4</f>
        <v>1.0360078863380962</v>
      </c>
      <c r="E4" s="220" t="s">
        <v>234</v>
      </c>
      <c r="F4" s="73">
        <f>B4/D4</f>
        <v>9.1734171505686718E-2</v>
      </c>
      <c r="H4" s="58">
        <v>1.7055951497654467</v>
      </c>
      <c r="I4" s="58"/>
      <c r="J4" s="73">
        <f>F4*H4</f>
        <v>0.15646135798785091</v>
      </c>
      <c r="M4" s="24"/>
      <c r="N4" s="48"/>
      <c r="O4" s="28"/>
    </row>
    <row r="5" spans="1:15">
      <c r="A5" s="14" t="s">
        <v>737</v>
      </c>
      <c r="B5" s="73">
        <v>6.1706247059905163E-2</v>
      </c>
      <c r="C5" s="206" t="s">
        <v>235</v>
      </c>
      <c r="D5" s="162">
        <v>1</v>
      </c>
      <c r="E5" s="220"/>
      <c r="F5" s="73">
        <f>B5/D5</f>
        <v>6.1706247059905163E-2</v>
      </c>
      <c r="H5" s="58">
        <v>1.7055951497654467</v>
      </c>
      <c r="I5" s="58"/>
      <c r="J5" s="73">
        <f>F5*H5</f>
        <v>0.10524587569560261</v>
      </c>
      <c r="M5" s="24"/>
      <c r="N5" s="48"/>
      <c r="O5" s="48"/>
    </row>
    <row r="6" spans="1:15">
      <c r="A6" s="5" t="s">
        <v>121</v>
      </c>
      <c r="B6" s="73">
        <f>'Table 3.29-UAA MP Units'!D17+'Table 3.29-UAA MP Units'!B12</f>
        <v>0.26820992565468488</v>
      </c>
      <c r="C6" s="206" t="s">
        <v>231</v>
      </c>
      <c r="D6" s="162">
        <f>'Table 3.37-Notice Inputs'!B5</f>
        <v>8.3373400462591807</v>
      </c>
      <c r="E6" s="220" t="s">
        <v>234</v>
      </c>
      <c r="F6" s="73">
        <f>B6/D6</f>
        <v>3.216972369683134E-2</v>
      </c>
      <c r="H6" s="58">
        <v>1.7055951497654467</v>
      </c>
      <c r="I6" s="58"/>
      <c r="J6" s="73">
        <f>F6*H6</f>
        <v>5.4868524706610092E-2</v>
      </c>
      <c r="M6" s="24"/>
      <c r="N6" s="24"/>
      <c r="O6" s="62"/>
    </row>
    <row r="7" spans="1:15">
      <c r="A7" s="14" t="s">
        <v>263</v>
      </c>
      <c r="B7" s="73">
        <f>SUM('Table 3.29-UAA MP Units'!B22:C22)/SUM('Table 3.29-UAA MP Units'!B27:C27)+'Table 3.29-UAA MP Units'!B12</f>
        <v>9.5037325126582903E-2</v>
      </c>
      <c r="C7" s="206" t="s">
        <v>231</v>
      </c>
      <c r="D7" s="162">
        <v>1</v>
      </c>
      <c r="E7" s="220"/>
      <c r="F7" s="73">
        <f>B7/D7</f>
        <v>9.5037325126582903E-2</v>
      </c>
      <c r="H7" s="58">
        <v>1.7055951497654467</v>
      </c>
      <c r="I7" s="58"/>
      <c r="J7" s="73">
        <f>F7*H7</f>
        <v>0.16209520078258161</v>
      </c>
    </row>
    <row r="8" spans="1:15">
      <c r="A8" s="103"/>
      <c r="B8" s="103"/>
      <c r="C8" s="103"/>
      <c r="D8" s="103"/>
      <c r="G8" s="57"/>
    </row>
    <row r="9" spans="1:15">
      <c r="A9" s="4" t="s">
        <v>230</v>
      </c>
    </row>
    <row r="10" spans="1:15">
      <c r="A10" s="17" t="s">
        <v>715</v>
      </c>
      <c r="B10" s="73"/>
      <c r="C10" s="73"/>
      <c r="G10" s="57"/>
    </row>
    <row r="11" spans="1:15">
      <c r="A11" s="17" t="s">
        <v>788</v>
      </c>
    </row>
    <row r="12" spans="1:15">
      <c r="A12" s="17" t="s">
        <v>699</v>
      </c>
    </row>
    <row r="13" spans="1:15">
      <c r="A13" s="17" t="s">
        <v>814</v>
      </c>
    </row>
    <row r="14" spans="1:15">
      <c r="A14" s="17"/>
    </row>
    <row r="15" spans="1:15">
      <c r="A15" s="2"/>
    </row>
    <row r="16" spans="1:15">
      <c r="A16" s="100"/>
      <c r="F16" s="4"/>
    </row>
    <row r="17" spans="1:6">
      <c r="A17" s="100"/>
      <c r="F17" s="4"/>
    </row>
    <row r="18" spans="1:6">
      <c r="A18" s="100"/>
      <c r="F18" s="4"/>
    </row>
  </sheetData>
  <phoneticPr fontId="0" type="noConversion"/>
  <printOptions horizontalCentered="1"/>
  <pageMargins left="0.75" right="0.75" top="1" bottom="1" header="0.5" footer="0.5"/>
  <pageSetup scale="97" orientation="landscape" r:id="rId1"/>
  <headerFooter alignWithMargins="0">
    <oddFooter>&amp;L&amp;F</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6">
    <pageSetUpPr fitToPage="1"/>
  </sheetPr>
  <dimension ref="A1:F44"/>
  <sheetViews>
    <sheetView zoomScale="70" workbookViewId="0"/>
  </sheetViews>
  <sheetFormatPr baseColWidth="10" defaultColWidth="8.83203125" defaultRowHeight="13"/>
  <cols>
    <col min="1" max="1" width="42.5" customWidth="1"/>
    <col min="2" max="2" width="13.5" customWidth="1"/>
    <col min="3" max="3" width="3.5" customWidth="1"/>
    <col min="4" max="4" width="10.5" customWidth="1"/>
    <col min="5" max="5" width="3.5" customWidth="1"/>
    <col min="6" max="6" width="13.5" customWidth="1"/>
  </cols>
  <sheetData>
    <row r="1" spans="1:6" ht="16">
      <c r="A1" s="117" t="s">
        <v>713</v>
      </c>
      <c r="B1" s="15"/>
      <c r="C1" s="15"/>
      <c r="D1" s="15"/>
      <c r="E1" s="15"/>
      <c r="F1" s="15"/>
    </row>
    <row r="2" spans="1:6" ht="16">
      <c r="A2" s="117" t="s">
        <v>780</v>
      </c>
      <c r="B2" s="15"/>
      <c r="C2" s="15"/>
      <c r="D2" s="15"/>
      <c r="E2" s="15"/>
      <c r="F2" s="15"/>
    </row>
    <row r="3" spans="1:6">
      <c r="A3" s="26"/>
      <c r="B3" s="109"/>
      <c r="C3" s="110"/>
      <c r="D3" s="110"/>
      <c r="E3" s="110"/>
      <c r="F3" s="111"/>
    </row>
    <row r="4" spans="1:6">
      <c r="B4" s="160" t="s">
        <v>221</v>
      </c>
      <c r="C4" s="160"/>
      <c r="D4" s="112"/>
      <c r="E4" s="224"/>
      <c r="F4" s="157" t="s">
        <v>112</v>
      </c>
    </row>
    <row r="5" spans="1:6">
      <c r="B5" s="159" t="s">
        <v>113</v>
      </c>
      <c r="C5" s="159"/>
      <c r="D5" s="115" t="s">
        <v>92</v>
      </c>
      <c r="E5" s="225"/>
      <c r="F5" s="158" t="s">
        <v>113</v>
      </c>
    </row>
    <row r="6" spans="1:6">
      <c r="A6" s="173" t="s">
        <v>114</v>
      </c>
      <c r="B6" s="174"/>
      <c r="C6" s="174"/>
      <c r="D6" s="174"/>
      <c r="E6" s="226"/>
      <c r="F6" s="175"/>
    </row>
    <row r="7" spans="1:6">
      <c r="A7" s="176" t="s">
        <v>115</v>
      </c>
      <c r="B7" s="177"/>
      <c r="C7" s="177"/>
      <c r="D7" s="178"/>
      <c r="E7" s="227"/>
      <c r="F7" s="179"/>
    </row>
    <row r="8" spans="1:6">
      <c r="A8" s="235" t="s">
        <v>448</v>
      </c>
      <c r="B8" s="113">
        <f>'Table 3.11-Form3547 Costs'!L52</f>
        <v>5.2703411131532173E-2</v>
      </c>
      <c r="C8" s="231" t="s">
        <v>231</v>
      </c>
      <c r="D8" s="178"/>
      <c r="E8" s="227"/>
      <c r="F8" s="179"/>
    </row>
    <row r="9" spans="1:6">
      <c r="A9" s="235" t="s">
        <v>313</v>
      </c>
      <c r="B9" s="113">
        <f>'Table 3.11-Form3547 Costs'!L53</f>
        <v>5.3335951058581009E-3</v>
      </c>
      <c r="C9" s="231" t="s">
        <v>231</v>
      </c>
      <c r="D9" s="178"/>
      <c r="E9" s="227"/>
      <c r="F9" s="179"/>
    </row>
    <row r="10" spans="1:6">
      <c r="A10" s="180" t="s">
        <v>116</v>
      </c>
      <c r="B10" s="113">
        <f>'Table 3.11-Form3547 Costs'!L54</f>
        <v>0.12043136995709666</v>
      </c>
      <c r="C10" s="231" t="s">
        <v>231</v>
      </c>
      <c r="D10" s="84"/>
      <c r="E10" s="228"/>
      <c r="F10" s="179"/>
    </row>
    <row r="11" spans="1:6">
      <c r="A11" s="180" t="s">
        <v>117</v>
      </c>
      <c r="B11" s="113">
        <f>'Table 3.11-Form3547 Costs'!L55</f>
        <v>1.0386913247623597</v>
      </c>
      <c r="C11" s="231" t="s">
        <v>231</v>
      </c>
      <c r="D11" s="178"/>
      <c r="E11" s="227"/>
      <c r="F11" s="179"/>
    </row>
    <row r="12" spans="1:6">
      <c r="A12" s="180" t="s">
        <v>118</v>
      </c>
      <c r="B12" s="113">
        <f>'Table 3.11-Form3547 Costs'!L56</f>
        <v>3.1097266533449332E-2</v>
      </c>
      <c r="C12" s="231" t="s">
        <v>231</v>
      </c>
      <c r="D12" s="178"/>
      <c r="E12" s="227"/>
      <c r="F12" s="179"/>
    </row>
    <row r="13" spans="1:6">
      <c r="A13" s="181" t="s">
        <v>97</v>
      </c>
      <c r="B13" s="114">
        <f>SUM(B8:B12)</f>
        <v>1.2482569674902959</v>
      </c>
      <c r="C13" s="114"/>
      <c r="D13" s="186">
        <f>'Table 3.37-Notice Inputs'!B12</f>
        <v>0.65688235321798083</v>
      </c>
      <c r="E13" s="232" t="s">
        <v>233</v>
      </c>
      <c r="F13" s="183">
        <f>B13*D13</f>
        <v>0.81995797422576622</v>
      </c>
    </row>
    <row r="14" spans="1:6">
      <c r="A14" s="184"/>
      <c r="B14" s="113"/>
      <c r="C14" s="113"/>
      <c r="D14" s="182"/>
      <c r="E14" s="229"/>
      <c r="F14" s="185"/>
    </row>
    <row r="15" spans="1:6">
      <c r="A15" s="176" t="s">
        <v>109</v>
      </c>
      <c r="B15" s="113"/>
      <c r="C15" s="113"/>
      <c r="D15" s="182"/>
      <c r="E15" s="229"/>
      <c r="F15" s="185"/>
    </row>
    <row r="16" spans="1:6">
      <c r="A16" s="235" t="s">
        <v>448</v>
      </c>
      <c r="B16" s="113">
        <f>'Table 3.11-Form3547 Costs'!L60</f>
        <v>0.13307286525822931</v>
      </c>
      <c r="C16" s="231" t="s">
        <v>231</v>
      </c>
      <c r="D16" s="182"/>
      <c r="E16" s="229"/>
      <c r="F16" s="185"/>
    </row>
    <row r="17" spans="1:6">
      <c r="A17" s="235" t="s">
        <v>313</v>
      </c>
      <c r="B17" s="113">
        <f>'Table 3.11-Form3547 Costs'!L61</f>
        <v>1.3466998959374048E-2</v>
      </c>
      <c r="C17" s="231" t="s">
        <v>231</v>
      </c>
      <c r="D17" s="182"/>
      <c r="E17" s="229"/>
      <c r="F17" s="185"/>
    </row>
    <row r="18" spans="1:6">
      <c r="A18" s="180" t="s">
        <v>116</v>
      </c>
      <c r="B18" s="113">
        <f>'Table 3.11-Form3547 Costs'!L62</f>
        <v>0.14358831289945162</v>
      </c>
      <c r="C18" s="231" t="s">
        <v>231</v>
      </c>
      <c r="D18" s="182"/>
      <c r="E18" s="229"/>
      <c r="F18" s="185"/>
    </row>
    <row r="19" spans="1:6">
      <c r="A19" s="180" t="s">
        <v>117</v>
      </c>
      <c r="B19" s="113">
        <f>'Table 3.11-Form3547 Costs'!L63</f>
        <v>1.3836410272156421</v>
      </c>
      <c r="C19" s="231" t="s">
        <v>231</v>
      </c>
      <c r="D19" s="182"/>
      <c r="E19" s="229"/>
      <c r="F19" s="185"/>
    </row>
    <row r="20" spans="1:6">
      <c r="A20" s="180" t="s">
        <v>118</v>
      </c>
      <c r="B20" s="113">
        <f>'Table 3.11-Form3547 Costs'!L64</f>
        <v>3.0603484237739845E-2</v>
      </c>
      <c r="C20" s="231" t="s">
        <v>231</v>
      </c>
      <c r="D20" s="182"/>
      <c r="E20" s="229"/>
      <c r="F20" s="185"/>
    </row>
    <row r="21" spans="1:6">
      <c r="A21" s="176" t="s">
        <v>97</v>
      </c>
      <c r="B21" s="114">
        <f>SUM(B16:B20)</f>
        <v>1.7043726885704369</v>
      </c>
      <c r="C21" s="114"/>
      <c r="D21" s="186">
        <f>'Table 3.37-Notice Inputs'!B13</f>
        <v>0.14438547523727488</v>
      </c>
      <c r="E21" s="232" t="s">
        <v>233</v>
      </c>
      <c r="F21" s="183">
        <f>B21*D21</f>
        <v>0.24608666062067441</v>
      </c>
    </row>
    <row r="22" spans="1:6">
      <c r="A22" s="184"/>
      <c r="B22" s="113"/>
      <c r="C22" s="113"/>
      <c r="D22" s="186"/>
      <c r="E22" s="229"/>
      <c r="F22" s="185"/>
    </row>
    <row r="23" spans="1:6">
      <c r="A23" s="176" t="s">
        <v>119</v>
      </c>
      <c r="B23" s="113"/>
      <c r="C23" s="113"/>
      <c r="D23" s="186">
        <f>1-D13-D21</f>
        <v>0.19873217154474429</v>
      </c>
      <c r="E23" s="232" t="s">
        <v>233</v>
      </c>
      <c r="F23" s="183">
        <v>0</v>
      </c>
    </row>
    <row r="24" spans="1:6">
      <c r="A24" s="184"/>
      <c r="B24" s="113"/>
      <c r="C24" s="113"/>
      <c r="D24" s="186"/>
      <c r="E24" s="230"/>
      <c r="F24" s="185"/>
    </row>
    <row r="25" spans="1:6">
      <c r="A25" s="176" t="s">
        <v>120</v>
      </c>
      <c r="B25" s="113"/>
      <c r="C25" s="113"/>
      <c r="D25" s="186">
        <f>SUM(D13,D21,D23)</f>
        <v>1</v>
      </c>
      <c r="E25" s="229"/>
      <c r="F25" s="187">
        <f>SUM(F13:F23)</f>
        <v>1.0660446348464405</v>
      </c>
    </row>
    <row r="26" spans="1:6">
      <c r="A26" s="184"/>
      <c r="B26" s="113"/>
      <c r="C26" s="113"/>
      <c r="D26" s="186"/>
      <c r="E26" s="229"/>
      <c r="F26" s="185"/>
    </row>
    <row r="27" spans="1:6">
      <c r="A27" s="176" t="s">
        <v>121</v>
      </c>
      <c r="B27" s="113"/>
      <c r="C27" s="113"/>
      <c r="D27" s="186"/>
      <c r="E27" s="229"/>
      <c r="F27" s="185"/>
    </row>
    <row r="28" spans="1:6">
      <c r="A28" s="235" t="s">
        <v>448</v>
      </c>
      <c r="B28" s="113">
        <f>'Table 3.12-Form3579 Costs'!L7</f>
        <v>0.62919711045079407</v>
      </c>
      <c r="C28" s="231" t="s">
        <v>234</v>
      </c>
      <c r="D28" s="186"/>
      <c r="E28" s="229"/>
      <c r="F28" s="185"/>
    </row>
    <row r="29" spans="1:6">
      <c r="A29" s="235" t="s">
        <v>313</v>
      </c>
      <c r="B29" s="113">
        <f>'Table 3.12-Form3579 Costs'!L8</f>
        <v>0.41794413079936094</v>
      </c>
      <c r="C29" s="231" t="s">
        <v>234</v>
      </c>
      <c r="D29" s="186"/>
      <c r="E29" s="229"/>
      <c r="F29" s="185"/>
    </row>
    <row r="30" spans="1:6">
      <c r="A30" s="180" t="s">
        <v>116</v>
      </c>
      <c r="B30" s="113">
        <f>'Table 3.12-Form3579 Costs'!L9</f>
        <v>5.4868524706610085E-2</v>
      </c>
      <c r="C30" s="231" t="s">
        <v>234</v>
      </c>
      <c r="D30" s="186"/>
      <c r="E30" s="229"/>
      <c r="F30" s="185"/>
    </row>
    <row r="31" spans="1:6">
      <c r="A31" s="180" t="s">
        <v>117</v>
      </c>
      <c r="B31" s="113">
        <f>'Table 3.12-Form3579 Costs'!L10</f>
        <v>0.19576110382443401</v>
      </c>
      <c r="C31" s="231" t="s">
        <v>234</v>
      </c>
      <c r="D31" s="186"/>
      <c r="E31" s="229"/>
      <c r="F31" s="185"/>
    </row>
    <row r="32" spans="1:6">
      <c r="A32" s="180" t="s">
        <v>118</v>
      </c>
      <c r="B32" s="113">
        <f>'Table 3.12-Form3579 Costs'!L11</f>
        <v>3.7687165346898485E-3</v>
      </c>
      <c r="C32" s="231" t="s">
        <v>234</v>
      </c>
      <c r="D32" s="186"/>
      <c r="E32" s="229"/>
      <c r="F32" s="185"/>
    </row>
    <row r="33" spans="1:6">
      <c r="A33" s="176" t="s">
        <v>122</v>
      </c>
      <c r="B33" s="114">
        <f>SUM(B28:B32)</f>
        <v>1.301539586315889</v>
      </c>
      <c r="C33" s="114"/>
      <c r="D33" s="186">
        <v>1</v>
      </c>
      <c r="E33" s="229"/>
      <c r="F33" s="183">
        <f>B33*D33</f>
        <v>1.301539586315889</v>
      </c>
    </row>
    <row r="34" spans="1:6">
      <c r="A34" s="180"/>
      <c r="B34" s="113"/>
      <c r="C34" s="113"/>
      <c r="D34" s="178"/>
      <c r="E34" s="227"/>
      <c r="F34" s="185"/>
    </row>
    <row r="35" spans="1:6">
      <c r="A35" s="418" t="s">
        <v>10</v>
      </c>
      <c r="B35" s="189"/>
      <c r="C35" s="189"/>
      <c r="D35" s="190"/>
      <c r="E35" s="190"/>
      <c r="F35" s="191">
        <f>(F25*'Table 3.37-Notice Inputs'!B17+F33*'Table 3.37-Notice Inputs'!B21)/SUM('Table 3.37-Notice Inputs'!B17,'Table 3.37-Notice Inputs'!B21)</f>
        <v>1.1054076741006436</v>
      </c>
    </row>
    <row r="36" spans="1:6" hidden="1">
      <c r="B36" s="27"/>
      <c r="C36" s="27"/>
      <c r="D36" s="27"/>
      <c r="E36" s="27"/>
    </row>
    <row r="37" spans="1:6" hidden="1">
      <c r="B37" s="27"/>
      <c r="C37" s="27"/>
      <c r="D37" s="27"/>
      <c r="E37" s="243" t="s">
        <v>183</v>
      </c>
      <c r="F37" s="105">
        <f>F25-'Table 3.11-Form3547 Costs'!P69</f>
        <v>0</v>
      </c>
    </row>
    <row r="38" spans="1:6" hidden="1">
      <c r="B38" s="27"/>
      <c r="C38" s="27"/>
      <c r="D38" s="27"/>
      <c r="E38" s="243" t="s">
        <v>183</v>
      </c>
      <c r="F38" s="105">
        <f>F33-'Table 3.12-Form3579 Costs'!P12</f>
        <v>0</v>
      </c>
    </row>
    <row r="39" spans="1:6" hidden="1">
      <c r="B39" s="27"/>
      <c r="C39" s="27"/>
      <c r="D39" s="27"/>
      <c r="E39" s="243" t="s">
        <v>183</v>
      </c>
      <c r="F39" s="105">
        <f>F35-'Table 3.1-UAA Summary'!M58</f>
        <v>0</v>
      </c>
    </row>
    <row r="40" spans="1:6">
      <c r="A40" s="204"/>
      <c r="B40" s="233"/>
      <c r="C40" s="233"/>
      <c r="D40" s="27"/>
      <c r="E40" s="27"/>
    </row>
    <row r="41" spans="1:6">
      <c r="A41" t="s">
        <v>230</v>
      </c>
      <c r="B41" s="27"/>
      <c r="C41" s="27"/>
      <c r="D41" s="27"/>
      <c r="E41" s="27"/>
    </row>
    <row r="42" spans="1:6">
      <c r="A42" s="11" t="s">
        <v>473</v>
      </c>
      <c r="B42" s="27"/>
      <c r="C42" s="27"/>
      <c r="D42" s="27"/>
      <c r="E42" s="27"/>
    </row>
    <row r="43" spans="1:6">
      <c r="A43" s="11" t="s">
        <v>700</v>
      </c>
      <c r="B43" s="27"/>
      <c r="C43" s="27"/>
      <c r="D43" s="27"/>
      <c r="E43" s="27"/>
    </row>
    <row r="44" spans="1:6">
      <c r="A44" s="11" t="s">
        <v>661</v>
      </c>
    </row>
  </sheetData>
  <phoneticPr fontId="0" type="noConversion"/>
  <printOptions horizontalCentered="1"/>
  <pageMargins left="0.75" right="0.75" top="1" bottom="1" header="0.5" footer="0.5"/>
  <pageSetup scale="93" orientation="landscape" r:id="rId1"/>
  <headerFooter alignWithMargins="0">
    <oddFooter>&amp;L&amp;F</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0">
    <pageSetUpPr fitToPage="1"/>
  </sheetPr>
  <dimension ref="A1:M34"/>
  <sheetViews>
    <sheetView zoomScale="70" workbookViewId="0"/>
  </sheetViews>
  <sheetFormatPr baseColWidth="10" defaultColWidth="8.83203125" defaultRowHeight="13"/>
  <cols>
    <col min="1" max="1" width="25.5" customWidth="1"/>
    <col min="2" max="5" width="10.5" customWidth="1"/>
    <col min="6" max="6" width="3.5" customWidth="1"/>
    <col min="7" max="9" width="10.5" customWidth="1"/>
    <col min="10" max="10" width="3.5" customWidth="1"/>
    <col min="11" max="13" width="10.5" customWidth="1"/>
  </cols>
  <sheetData>
    <row r="1" spans="1:13" ht="16">
      <c r="A1" s="117" t="s">
        <v>714</v>
      </c>
    </row>
    <row r="2" spans="1:13" ht="16">
      <c r="A2" s="117" t="s">
        <v>780</v>
      </c>
    </row>
    <row r="4" spans="1:13">
      <c r="B4" s="358" t="s">
        <v>567</v>
      </c>
      <c r="C4" s="295"/>
      <c r="D4" s="295"/>
      <c r="E4" s="296"/>
      <c r="G4" s="358" t="s">
        <v>472</v>
      </c>
      <c r="H4" s="295"/>
      <c r="I4" s="296"/>
      <c r="K4" s="358" t="s">
        <v>264</v>
      </c>
      <c r="L4" s="295"/>
      <c r="M4" s="296"/>
    </row>
    <row r="5" spans="1:13">
      <c r="B5" s="360" t="s">
        <v>453</v>
      </c>
      <c r="C5" s="13" t="s">
        <v>452</v>
      </c>
      <c r="D5" s="13" t="s">
        <v>453</v>
      </c>
      <c r="E5" s="361" t="s">
        <v>454</v>
      </c>
      <c r="G5" s="360"/>
      <c r="H5" s="13"/>
      <c r="I5" s="361"/>
      <c r="K5" s="360"/>
      <c r="M5" s="179"/>
    </row>
    <row r="6" spans="1:13">
      <c r="A6" s="204" t="s">
        <v>391</v>
      </c>
      <c r="B6" s="359" t="s">
        <v>455</v>
      </c>
      <c r="C6" s="343" t="s">
        <v>456</v>
      </c>
      <c r="D6" s="343" t="s">
        <v>457</v>
      </c>
      <c r="E6" s="294" t="s">
        <v>457</v>
      </c>
      <c r="G6" s="356" t="s">
        <v>142</v>
      </c>
      <c r="H6" s="343" t="s">
        <v>339</v>
      </c>
      <c r="I6" s="294" t="s">
        <v>97</v>
      </c>
      <c r="K6" s="356" t="s">
        <v>142</v>
      </c>
      <c r="L6" s="343" t="s">
        <v>339</v>
      </c>
      <c r="M6" s="294" t="s">
        <v>97</v>
      </c>
    </row>
    <row r="7" spans="1:13">
      <c r="A7" s="5" t="s">
        <v>458</v>
      </c>
    </row>
    <row r="8" spans="1:13">
      <c r="A8" s="258" t="s">
        <v>403</v>
      </c>
      <c r="B8" s="6">
        <v>206221.91299999997</v>
      </c>
      <c r="C8" s="6">
        <v>3093.3286949999992</v>
      </c>
      <c r="D8" s="6">
        <v>185608.4748171322</v>
      </c>
      <c r="E8" s="6">
        <v>17520.109487867754</v>
      </c>
      <c r="F8" s="6"/>
      <c r="G8" s="6">
        <v>0</v>
      </c>
      <c r="H8" s="6">
        <v>19942.507817869391</v>
      </c>
      <c r="I8" s="6">
        <f>SUM(G8:H8)</f>
        <v>19942.507817869391</v>
      </c>
      <c r="J8" s="6"/>
      <c r="K8" s="6">
        <f>B8+G8</f>
        <v>206221.91299999997</v>
      </c>
      <c r="L8" s="6">
        <f>H8</f>
        <v>19942.507817869391</v>
      </c>
      <c r="M8" s="6">
        <f>SUM(K8:L8)</f>
        <v>226164.42081786937</v>
      </c>
    </row>
    <row r="9" spans="1:13">
      <c r="A9" s="258" t="s">
        <v>402</v>
      </c>
      <c r="B9" s="6">
        <v>497603.83090702374</v>
      </c>
      <c r="C9" s="6">
        <v>7464.0574636053561</v>
      </c>
      <c r="D9" s="6">
        <v>447864.56867857126</v>
      </c>
      <c r="E9" s="6">
        <v>42275.204764847134</v>
      </c>
      <c r="F9" s="6"/>
      <c r="G9" s="6">
        <v>0</v>
      </c>
      <c r="H9" s="6">
        <v>123221.08092957824</v>
      </c>
      <c r="I9" s="6">
        <f>SUM(G9:H9)</f>
        <v>123221.08092957824</v>
      </c>
      <c r="J9" s="6"/>
      <c r="K9" s="6">
        <f>B9+G9</f>
        <v>497603.83090702374</v>
      </c>
      <c r="L9" s="6">
        <f>H9</f>
        <v>123221.08092957824</v>
      </c>
      <c r="M9" s="6">
        <f>SUM(K9:L9)</f>
        <v>620824.91183660203</v>
      </c>
    </row>
    <row r="10" spans="1:13">
      <c r="A10" s="258" t="s">
        <v>97</v>
      </c>
      <c r="B10" s="6">
        <f>SUM(B8:B9)</f>
        <v>703825.74390702369</v>
      </c>
      <c r="C10" s="6">
        <f>SUM(C8:C9)</f>
        <v>10557.386158605355</v>
      </c>
      <c r="D10" s="6">
        <f>SUM(D8:D9)</f>
        <v>633473.04349570349</v>
      </c>
      <c r="E10" s="6">
        <f>SUM(E8:E9)</f>
        <v>59795.314252714888</v>
      </c>
      <c r="F10" s="6"/>
      <c r="G10" s="6">
        <f>SUM(G8:G9)</f>
        <v>0</v>
      </c>
      <c r="H10" s="6">
        <f>SUM(H8:H9)</f>
        <v>143163.58874744762</v>
      </c>
      <c r="I10" s="6">
        <f>SUM(I8:I9)</f>
        <v>143163.58874744762</v>
      </c>
      <c r="J10" s="6"/>
      <c r="K10" s="6">
        <f>SUM(K8:K9)</f>
        <v>703825.74390702369</v>
      </c>
      <c r="L10" s="6">
        <f>SUM(L8:L9)</f>
        <v>143163.58874744762</v>
      </c>
      <c r="M10" s="6">
        <f>SUM(M8:M9)</f>
        <v>846989.33265447139</v>
      </c>
    </row>
    <row r="11" spans="1:13">
      <c r="B11" s="6"/>
      <c r="C11" s="6"/>
      <c r="D11" s="6"/>
      <c r="E11" s="6"/>
      <c r="F11" s="6"/>
      <c r="G11" s="6"/>
      <c r="H11" s="6"/>
      <c r="I11" s="6"/>
      <c r="J11" s="6"/>
      <c r="K11" s="6"/>
    </row>
    <row r="12" spans="1:13">
      <c r="A12" s="5" t="s">
        <v>271</v>
      </c>
      <c r="B12" s="6">
        <v>0</v>
      </c>
      <c r="C12" s="6">
        <v>0</v>
      </c>
      <c r="D12" s="6">
        <v>0</v>
      </c>
      <c r="E12" s="6">
        <v>0</v>
      </c>
      <c r="F12" s="6"/>
      <c r="G12" s="6">
        <v>30061.621984904348</v>
      </c>
      <c r="H12" s="6">
        <v>2079.1305948833556</v>
      </c>
      <c r="I12" s="6">
        <f>SUM(G12:H12)</f>
        <v>32140.752579787702</v>
      </c>
      <c r="J12" s="6"/>
      <c r="K12" s="6">
        <f>B12+G12</f>
        <v>30061.621984904348</v>
      </c>
      <c r="L12" s="6">
        <f>H12</f>
        <v>2079.1305948833556</v>
      </c>
      <c r="M12" s="6">
        <f>SUM(K12:L12)</f>
        <v>32140.752579787702</v>
      </c>
    </row>
    <row r="13" spans="1:13">
      <c r="B13" s="6"/>
      <c r="C13" s="6"/>
      <c r="D13" s="6"/>
      <c r="E13" s="6"/>
      <c r="F13" s="6"/>
      <c r="G13" s="6"/>
      <c r="H13" s="6"/>
      <c r="I13" s="6"/>
      <c r="J13" s="6"/>
      <c r="K13" s="6"/>
    </row>
    <row r="14" spans="1:13">
      <c r="A14" s="5" t="s">
        <v>459</v>
      </c>
      <c r="B14" s="6"/>
      <c r="C14" s="6"/>
      <c r="D14" s="6"/>
      <c r="E14" s="6"/>
      <c r="F14" s="6"/>
      <c r="G14" s="6"/>
      <c r="H14" s="6"/>
      <c r="I14" s="6"/>
      <c r="J14" s="6"/>
      <c r="K14" s="6"/>
    </row>
    <row r="15" spans="1:13">
      <c r="A15" s="258" t="s">
        <v>403</v>
      </c>
      <c r="B15" s="6">
        <v>580243.90405001282</v>
      </c>
      <c r="C15" s="6">
        <v>8703.6585607501929</v>
      </c>
      <c r="D15" s="6">
        <v>486144.21731189848</v>
      </c>
      <c r="E15" s="6">
        <v>85396.028177364176</v>
      </c>
      <c r="F15" s="6"/>
      <c r="G15" s="6">
        <v>0</v>
      </c>
      <c r="H15" s="6">
        <v>28934.500913609234</v>
      </c>
      <c r="I15" s="6">
        <f>SUM(G15:H15)</f>
        <v>28934.500913609234</v>
      </c>
      <c r="J15" s="6"/>
      <c r="K15" s="6">
        <f>B15+G15</f>
        <v>580243.90405001282</v>
      </c>
      <c r="L15" s="6">
        <f>H15</f>
        <v>28934.500913609234</v>
      </c>
      <c r="M15" s="6">
        <f>SUM(K15:L15)</f>
        <v>609178.4049636221</v>
      </c>
    </row>
    <row r="16" spans="1:13">
      <c r="A16" s="258" t="s">
        <v>402</v>
      </c>
      <c r="B16" s="6">
        <v>787271.24386219331</v>
      </c>
      <c r="C16" s="6">
        <v>11809.068657932901</v>
      </c>
      <c r="D16" s="6">
        <v>657374.94869302772</v>
      </c>
      <c r="E16" s="6">
        <v>118087.22651123274</v>
      </c>
      <c r="F16" s="6"/>
      <c r="G16" s="6">
        <v>13058.413680438909</v>
      </c>
      <c r="H16" s="6">
        <v>23719.061618189055</v>
      </c>
      <c r="I16" s="6">
        <f>SUM(G16:H16)</f>
        <v>36777.475298627964</v>
      </c>
      <c r="J16" s="6"/>
      <c r="K16" s="6">
        <f>B16+G16</f>
        <v>800329.65754263219</v>
      </c>
      <c r="L16" s="6">
        <f>H16</f>
        <v>23719.061618189055</v>
      </c>
      <c r="M16" s="6">
        <f>SUM(K16:L16)</f>
        <v>824048.71916082129</v>
      </c>
    </row>
    <row r="17" spans="1:13">
      <c r="A17" s="258" t="s">
        <v>97</v>
      </c>
      <c r="B17" s="6">
        <f>SUM(B15:B16)</f>
        <v>1367515.1479122061</v>
      </c>
      <c r="C17" s="6">
        <f>SUM(C15:C16)</f>
        <v>20512.727218683096</v>
      </c>
      <c r="D17" s="6">
        <f>SUM(D15:D16)</f>
        <v>1143519.1660049262</v>
      </c>
      <c r="E17" s="6">
        <f>SUM(E15:E16)</f>
        <v>203483.25468859694</v>
      </c>
      <c r="F17" s="6"/>
      <c r="G17" s="6">
        <f>SUM(G15:G16)</f>
        <v>13058.413680438909</v>
      </c>
      <c r="H17" s="6">
        <f>SUM(H15:H16)</f>
        <v>52653.562531798292</v>
      </c>
      <c r="I17" s="6">
        <f>SUM(I15:I16)</f>
        <v>65711.976212237205</v>
      </c>
      <c r="J17" s="6"/>
      <c r="K17" s="6">
        <f>SUM(K15:K16)</f>
        <v>1380573.561592645</v>
      </c>
      <c r="L17" s="6">
        <f>SUM(L15:L16)</f>
        <v>52653.562531798292</v>
      </c>
      <c r="M17" s="6">
        <f>SUM(M15:M16)</f>
        <v>1433227.1241244434</v>
      </c>
    </row>
    <row r="18" spans="1:13">
      <c r="B18" s="6"/>
      <c r="C18" s="6"/>
      <c r="D18" s="6"/>
      <c r="E18" s="6"/>
      <c r="F18" s="6"/>
      <c r="G18" s="6"/>
      <c r="H18" s="6"/>
      <c r="I18" s="6"/>
      <c r="J18" s="6"/>
      <c r="K18" s="6"/>
    </row>
    <row r="19" spans="1:13">
      <c r="A19" s="16" t="s">
        <v>460</v>
      </c>
      <c r="B19" s="6"/>
      <c r="C19" s="6"/>
      <c r="D19" s="6"/>
      <c r="E19" s="6"/>
      <c r="F19" s="6"/>
      <c r="G19" s="6"/>
      <c r="H19" s="6"/>
      <c r="I19" s="6"/>
      <c r="J19" s="6"/>
      <c r="K19" s="6"/>
    </row>
    <row r="20" spans="1:13">
      <c r="A20" s="258" t="s">
        <v>403</v>
      </c>
      <c r="B20" s="6">
        <v>0</v>
      </c>
      <c r="C20" s="6">
        <v>0</v>
      </c>
      <c r="D20" s="6">
        <v>0</v>
      </c>
      <c r="E20" s="6">
        <v>0</v>
      </c>
      <c r="F20" s="6"/>
      <c r="G20" s="6">
        <v>0</v>
      </c>
      <c r="H20" s="6">
        <v>0</v>
      </c>
      <c r="I20" s="6">
        <f>SUM(G20:H20)</f>
        <v>0</v>
      </c>
      <c r="J20" s="6"/>
      <c r="K20" s="6">
        <f>B20+G20</f>
        <v>0</v>
      </c>
      <c r="L20" s="6">
        <f>H20</f>
        <v>0</v>
      </c>
      <c r="M20" s="6">
        <f>SUM(K20:L20)</f>
        <v>0</v>
      </c>
    </row>
    <row r="21" spans="1:13">
      <c r="A21" s="258" t="s">
        <v>402</v>
      </c>
      <c r="B21" s="6">
        <v>278110.92171788111</v>
      </c>
      <c r="C21" s="6">
        <v>4171.6638257682162</v>
      </c>
      <c r="D21" s="6">
        <v>253881.90141057805</v>
      </c>
      <c r="E21" s="6">
        <v>20057.356481534796</v>
      </c>
      <c r="F21" s="6"/>
      <c r="G21" s="6">
        <v>1134016.8901047918</v>
      </c>
      <c r="H21" s="6">
        <v>234961.65860339542</v>
      </c>
      <c r="I21" s="6">
        <f>SUM(G21:H21)</f>
        <v>1368978.5487081872</v>
      </c>
      <c r="J21" s="6"/>
      <c r="K21" s="6">
        <f>B21+G21</f>
        <v>1412127.8118226728</v>
      </c>
      <c r="L21" s="6">
        <f>H21</f>
        <v>234961.65860339542</v>
      </c>
      <c r="M21" s="6">
        <f>SUM(K21:L21)</f>
        <v>1647089.4704260682</v>
      </c>
    </row>
    <row r="22" spans="1:13">
      <c r="A22" s="258" t="s">
        <v>97</v>
      </c>
      <c r="B22" s="6">
        <f>SUM(B20:B21)</f>
        <v>278110.92171788111</v>
      </c>
      <c r="C22" s="6">
        <f>SUM(C20:C21)</f>
        <v>4171.6638257682162</v>
      </c>
      <c r="D22" s="6">
        <f>SUM(D20:D21)</f>
        <v>253881.90141057805</v>
      </c>
      <c r="E22" s="6">
        <f>SUM(E20:E21)</f>
        <v>20057.356481534796</v>
      </c>
      <c r="F22" s="6"/>
      <c r="G22" s="6">
        <f>SUM(G20:G21)</f>
        <v>1134016.8901047918</v>
      </c>
      <c r="H22" s="6">
        <f>SUM(H20:H21)</f>
        <v>234961.65860339542</v>
      </c>
      <c r="I22" s="6">
        <f>SUM(I20:I21)</f>
        <v>1368978.5487081872</v>
      </c>
      <c r="J22" s="6"/>
      <c r="K22" s="6">
        <f>SUM(K20:K21)</f>
        <v>1412127.8118226728</v>
      </c>
      <c r="L22" s="6">
        <f>SUM(L20:L21)</f>
        <v>234961.65860339542</v>
      </c>
      <c r="M22" s="6">
        <f>SUM(M20:M21)</f>
        <v>1647089.4704260682</v>
      </c>
    </row>
    <row r="23" spans="1:13">
      <c r="B23" s="6"/>
      <c r="C23" s="6"/>
      <c r="D23" s="6"/>
      <c r="E23" s="6"/>
      <c r="F23" s="6"/>
      <c r="G23" s="6"/>
      <c r="H23" s="6"/>
      <c r="I23" s="6"/>
      <c r="J23" s="6"/>
      <c r="K23" s="6"/>
    </row>
    <row r="24" spans="1:13">
      <c r="A24" s="5" t="s">
        <v>414</v>
      </c>
      <c r="B24" s="6">
        <f>SUM(B10,B12,B17,B22)</f>
        <v>2349451.813537111</v>
      </c>
      <c r="C24" s="6">
        <f>SUM(C10,C12,C17,C22)</f>
        <v>35241.777203056663</v>
      </c>
      <c r="D24" s="6">
        <f>SUM(D10,D12,D17,D22)</f>
        <v>2030874.1109112077</v>
      </c>
      <c r="E24" s="6">
        <f>SUM(E10,E12,E17,E22)</f>
        <v>283335.92542284657</v>
      </c>
      <c r="F24" s="6"/>
      <c r="G24" s="6">
        <f>SUM(G10,G12,G17,G22)</f>
        <v>1177136.9257701351</v>
      </c>
      <c r="H24" s="6">
        <f>SUM(H10,H12,H17,H22)</f>
        <v>432857.94047752465</v>
      </c>
      <c r="I24" s="6">
        <f>SUM(I10,I12,I17,I22)</f>
        <v>1609994.8662476598</v>
      </c>
      <c r="J24" s="6"/>
      <c r="K24" s="6">
        <f>SUM(K10,K12,K17,K22)</f>
        <v>3526588.7393072457</v>
      </c>
      <c r="L24" s="6">
        <f>SUM(L10,L12,L17,L22)</f>
        <v>432857.94047752465</v>
      </c>
      <c r="M24" s="6">
        <f>SUM(M10,M12,M17,M22)</f>
        <v>3959446.6797847706</v>
      </c>
    </row>
    <row r="25" spans="1:13" hidden="1"/>
    <row r="26" spans="1:13" hidden="1">
      <c r="A26" t="s">
        <v>186</v>
      </c>
      <c r="C26" s="105">
        <f>C8-'Table 3.19-CFS UAA'!B47</f>
        <v>0</v>
      </c>
      <c r="G26" s="105">
        <f>G12-SUM('Table 3.30-UAA MP Cost'!B11:B12)</f>
        <v>0</v>
      </c>
      <c r="H26" s="105">
        <v>0</v>
      </c>
    </row>
    <row r="27" spans="1:13" hidden="1">
      <c r="C27" s="105">
        <f>C9-'Table 3.19-CFS UAA'!B46+'Table 3.19-CFS UAA'!B47</f>
        <v>0</v>
      </c>
      <c r="G27" s="105">
        <f>G17-SUM('Table 3.30-UAA MP Cost'!B27:B28)</f>
        <v>0</v>
      </c>
      <c r="H27" s="105">
        <v>0</v>
      </c>
    </row>
    <row r="28" spans="1:13" hidden="1">
      <c r="C28" s="105">
        <f>C15-'Table 3.19-CFS UAA'!B60</f>
        <v>0</v>
      </c>
      <c r="G28" s="105">
        <v>0</v>
      </c>
      <c r="H28" s="105">
        <v>0</v>
      </c>
    </row>
    <row r="29" spans="1:13" hidden="1">
      <c r="C29" s="105">
        <f>C16-'Table 3.18-Nixie UAA'!D33</f>
        <v>0</v>
      </c>
      <c r="G29" s="6"/>
      <c r="H29" s="105">
        <v>0</v>
      </c>
    </row>
    <row r="30" spans="1:13" hidden="1">
      <c r="B30" s="105">
        <f>B24-'Table 3.23-CIOSS Summary'!C14</f>
        <v>0</v>
      </c>
      <c r="C30" s="105">
        <f>C21-'Table 3.18-Nixie UAA'!D37</f>
        <v>0</v>
      </c>
      <c r="D30" s="105">
        <f>D24-'Table 3.28-REC Volume'!G40</f>
        <v>0</v>
      </c>
      <c r="E30" s="105">
        <f>E24-'Table 3.28-REC Volume'!H40</f>
        <v>0</v>
      </c>
      <c r="G30" s="105">
        <v>0</v>
      </c>
      <c r="H30" s="105">
        <v>0</v>
      </c>
    </row>
    <row r="31" spans="1:13">
      <c r="A31" s="204"/>
      <c r="B31" s="204"/>
      <c r="C31" s="204"/>
      <c r="D31" s="204"/>
    </row>
    <row r="32" spans="1:13">
      <c r="A32" t="s">
        <v>230</v>
      </c>
    </row>
    <row r="33" spans="1:1">
      <c r="A33" s="11" t="s">
        <v>662</v>
      </c>
    </row>
    <row r="34" spans="1:1">
      <c r="A34" t="s">
        <v>663</v>
      </c>
    </row>
  </sheetData>
  <phoneticPr fontId="5" type="noConversion"/>
  <printOptions horizontalCentered="1"/>
  <pageMargins left="0.75" right="0.75" top="1" bottom="1" header="0.5" footer="0.5"/>
  <pageSetup scale="89" orientation="landscape" r:id="rId1"/>
  <headerFooter alignWithMargins="0">
    <oddFooter>&amp;L&amp;F</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U46"/>
  <sheetViews>
    <sheetView zoomScale="70" workbookViewId="0"/>
  </sheetViews>
  <sheetFormatPr baseColWidth="10" defaultColWidth="8.83203125" defaultRowHeight="13"/>
  <cols>
    <col min="1" max="1" width="31.1640625" customWidth="1"/>
    <col min="2" max="2" width="10.5" customWidth="1"/>
    <col min="3" max="3" width="2.5" customWidth="1"/>
    <col min="4" max="4" width="10.1640625" customWidth="1"/>
    <col min="5" max="5" width="2.5" customWidth="1"/>
    <col min="6" max="6" width="12.5" customWidth="1"/>
    <col min="7" max="7" width="2.5" customWidth="1"/>
    <col min="8" max="8" width="10.5" customWidth="1"/>
    <col min="9" max="9" width="2.5" customWidth="1"/>
    <col min="10" max="10" width="10.1640625" customWidth="1"/>
    <col min="11" max="11" width="2.5" customWidth="1"/>
    <col min="12" max="12" width="12.5" customWidth="1"/>
    <col min="13" max="13" width="2.5" customWidth="1"/>
    <col min="14" max="14" width="10.5" customWidth="1"/>
    <col min="15" max="15" width="2.5" customWidth="1"/>
    <col min="16" max="16" width="10.1640625" customWidth="1"/>
    <col min="17" max="17" width="2.5" customWidth="1"/>
    <col min="18" max="18" width="12.5" customWidth="1"/>
  </cols>
  <sheetData>
    <row r="1" spans="1:18" ht="16">
      <c r="A1" s="117" t="s">
        <v>759</v>
      </c>
      <c r="B1" s="5"/>
      <c r="C1" s="5"/>
      <c r="D1" s="5"/>
      <c r="E1" s="5"/>
      <c r="F1" s="5"/>
    </row>
    <row r="2" spans="1:18" ht="17" thickBot="1">
      <c r="A2" s="117" t="s">
        <v>780</v>
      </c>
      <c r="B2" s="5"/>
      <c r="C2" s="5"/>
      <c r="D2" s="5"/>
      <c r="E2" s="5"/>
      <c r="F2" s="5"/>
    </row>
    <row r="3" spans="1:18" ht="14" thickBot="1">
      <c r="A3" s="15"/>
      <c r="B3" s="316" t="s">
        <v>265</v>
      </c>
      <c r="C3" s="317"/>
      <c r="D3" s="317"/>
      <c r="E3" s="318"/>
      <c r="F3" s="319"/>
      <c r="H3" s="316" t="s">
        <v>142</v>
      </c>
      <c r="I3" s="317"/>
      <c r="J3" s="317"/>
      <c r="K3" s="318"/>
      <c r="L3" s="319"/>
      <c r="N3" s="316" t="s">
        <v>339</v>
      </c>
      <c r="O3" s="317"/>
      <c r="P3" s="317"/>
      <c r="Q3" s="318"/>
      <c r="R3" s="319"/>
    </row>
    <row r="4" spans="1:18">
      <c r="B4" s="314" t="s">
        <v>123</v>
      </c>
      <c r="C4" s="20"/>
      <c r="D4" s="4"/>
      <c r="E4" s="4"/>
      <c r="F4" s="315" t="s">
        <v>112</v>
      </c>
      <c r="H4" s="314" t="s">
        <v>123</v>
      </c>
      <c r="I4" s="20"/>
      <c r="J4" s="4"/>
      <c r="K4" s="4"/>
      <c r="L4" s="315" t="s">
        <v>112</v>
      </c>
      <c r="N4" s="314" t="s">
        <v>123</v>
      </c>
      <c r="O4" s="20"/>
      <c r="P4" s="4"/>
      <c r="Q4" s="4"/>
      <c r="R4" s="315" t="s">
        <v>112</v>
      </c>
    </row>
    <row r="5" spans="1:18">
      <c r="B5" s="156" t="s">
        <v>99</v>
      </c>
      <c r="C5" s="234"/>
      <c r="D5" s="116" t="s">
        <v>92</v>
      </c>
      <c r="E5" s="116"/>
      <c r="F5" s="158" t="s">
        <v>99</v>
      </c>
      <c r="H5" s="156" t="s">
        <v>99</v>
      </c>
      <c r="I5" s="234"/>
      <c r="J5" s="116" t="s">
        <v>92</v>
      </c>
      <c r="K5" s="116"/>
      <c r="L5" s="158" t="s">
        <v>99</v>
      </c>
      <c r="N5" s="156" t="s">
        <v>99</v>
      </c>
      <c r="O5" s="234"/>
      <c r="P5" s="116" t="s">
        <v>92</v>
      </c>
      <c r="Q5" s="116"/>
      <c r="R5" s="158" t="s">
        <v>99</v>
      </c>
    </row>
    <row r="6" spans="1:18">
      <c r="A6" s="320" t="s">
        <v>124</v>
      </c>
      <c r="B6" s="192"/>
      <c r="C6" s="192"/>
      <c r="D6" s="193"/>
      <c r="E6" s="193"/>
      <c r="F6" s="194"/>
      <c r="H6" s="192"/>
      <c r="I6" s="192"/>
      <c r="J6" s="193"/>
      <c r="K6" s="193"/>
      <c r="L6" s="194"/>
      <c r="N6" s="192"/>
      <c r="O6" s="192"/>
      <c r="P6" s="193"/>
      <c r="Q6" s="193"/>
      <c r="R6" s="194"/>
    </row>
    <row r="7" spans="1:18">
      <c r="A7" s="313" t="s">
        <v>463</v>
      </c>
      <c r="B7" s="363"/>
      <c r="C7" s="363"/>
      <c r="D7" s="180"/>
      <c r="E7" s="180"/>
      <c r="F7" s="113"/>
      <c r="H7" s="363"/>
      <c r="I7" s="363"/>
      <c r="J7" s="180"/>
      <c r="K7" s="180"/>
      <c r="L7" s="113"/>
      <c r="N7" s="363"/>
      <c r="O7" s="363"/>
      <c r="P7" s="180"/>
      <c r="Q7" s="180"/>
      <c r="R7" s="113"/>
    </row>
    <row r="8" spans="1:18">
      <c r="A8" s="364" t="s">
        <v>465</v>
      </c>
      <c r="B8" s="113">
        <v>0</v>
      </c>
      <c r="C8" s="231"/>
      <c r="D8" s="403">
        <v>0</v>
      </c>
      <c r="E8" s="231"/>
      <c r="F8" s="113">
        <f>B8*D8</f>
        <v>0</v>
      </c>
      <c r="H8" s="113">
        <v>0</v>
      </c>
      <c r="I8" s="231"/>
      <c r="J8" s="403">
        <v>0</v>
      </c>
      <c r="K8" s="231"/>
      <c r="L8" s="113">
        <f>H8*J8</f>
        <v>0</v>
      </c>
      <c r="N8" s="113">
        <v>0</v>
      </c>
      <c r="O8" s="231"/>
      <c r="P8" s="403">
        <v>0</v>
      </c>
      <c r="Q8" s="231"/>
      <c r="R8" s="113">
        <f>N8*P8</f>
        <v>0</v>
      </c>
    </row>
    <row r="9" spans="1:18">
      <c r="A9" s="364" t="s">
        <v>466</v>
      </c>
      <c r="B9" s="113">
        <f>SUM('Table 3.19-CFS UAA'!J44,'Table 3.19-CFS UAA'!J13)/SUM('Table 3.19-CFS UAA'!B44,'Table 3.19-CFS UAA'!B13)</f>
        <v>0.60317127753834743</v>
      </c>
      <c r="C9" s="231" t="s">
        <v>231</v>
      </c>
      <c r="D9" s="403">
        <f>('Table 3.42-Vol Flows'!C8+'Table 3.42-Vol Flows'!H8)/('Table 3.42-Vol Flows'!M8)</f>
        <v>0.10185437846309253</v>
      </c>
      <c r="E9" s="231" t="s">
        <v>234</v>
      </c>
      <c r="F9" s="113">
        <f>B9*D9</f>
        <v>6.1435635580457865E-2</v>
      </c>
      <c r="H9" s="113">
        <f>'Table 3.19-CFS UAA'!K44</f>
        <v>0.60317127753834776</v>
      </c>
      <c r="I9" s="231" t="s">
        <v>231</v>
      </c>
      <c r="J9" s="403">
        <f>'Table 3.42-Vol Flows'!C8/'Table 3.42-Vol Flows'!K8</f>
        <v>1.4999999999999998E-2</v>
      </c>
      <c r="K9" s="231" t="s">
        <v>234</v>
      </c>
      <c r="L9" s="113">
        <f>H9*J9</f>
        <v>9.0475691630752149E-3</v>
      </c>
      <c r="N9" s="113">
        <f>'Table 3.19-CFS UAA'!K13</f>
        <v>0.60317127753834743</v>
      </c>
      <c r="O9" s="231" t="s">
        <v>231</v>
      </c>
      <c r="P9" s="403">
        <f>'Table 3.42-Vol Flows'!H8/'Table 3.42-Vol Flows'!L8</f>
        <v>1</v>
      </c>
      <c r="Q9" s="231" t="s">
        <v>234</v>
      </c>
      <c r="R9" s="113">
        <f>N9*P9</f>
        <v>0.60317127753834743</v>
      </c>
    </row>
    <row r="10" spans="1:18">
      <c r="A10" s="313"/>
      <c r="B10" s="113"/>
      <c r="C10" s="231"/>
      <c r="D10" s="403"/>
      <c r="E10" s="231"/>
      <c r="F10" s="113"/>
      <c r="H10" s="113"/>
      <c r="I10" s="231"/>
      <c r="J10" s="403"/>
      <c r="K10" s="231"/>
      <c r="L10" s="113"/>
      <c r="N10" s="113"/>
      <c r="O10" s="231"/>
      <c r="P10" s="403"/>
      <c r="Q10" s="231"/>
      <c r="R10" s="113"/>
    </row>
    <row r="11" spans="1:18">
      <c r="A11" s="313" t="s">
        <v>452</v>
      </c>
      <c r="B11" s="113"/>
      <c r="C11" s="231"/>
      <c r="D11" s="403"/>
      <c r="E11" s="231"/>
      <c r="F11" s="113"/>
      <c r="H11" s="180"/>
      <c r="I11" s="231"/>
      <c r="J11" s="403"/>
      <c r="K11" s="231"/>
      <c r="L11" s="113"/>
      <c r="N11" s="113"/>
      <c r="O11" s="231"/>
      <c r="P11" s="403"/>
      <c r="Q11" s="231"/>
      <c r="R11" s="113"/>
    </row>
    <row r="12" spans="1:18">
      <c r="A12" s="362" t="s">
        <v>461</v>
      </c>
      <c r="B12" s="113">
        <f>H12</f>
        <v>0</v>
      </c>
      <c r="C12" s="231"/>
      <c r="D12" s="403">
        <f>'Table 3.42-Vol Flows'!D8/'Table 3.42-Vol Flows'!M8</f>
        <v>0.8206793718743367</v>
      </c>
      <c r="E12" s="231" t="s">
        <v>234</v>
      </c>
      <c r="F12" s="113">
        <f>B12*D12</f>
        <v>0</v>
      </c>
      <c r="H12" s="113">
        <v>0</v>
      </c>
      <c r="I12" s="231"/>
      <c r="J12" s="403">
        <f>'Table 3.42-Vol Flows'!D8/'Table 3.42-Vol Flows'!K8</f>
        <v>0.90004244513594545</v>
      </c>
      <c r="K12" s="231" t="s">
        <v>234</v>
      </c>
      <c r="L12" s="113">
        <f>H12*J12</f>
        <v>0</v>
      </c>
      <c r="N12" s="113">
        <v>0</v>
      </c>
      <c r="O12" s="231"/>
      <c r="P12" s="403">
        <v>0</v>
      </c>
      <c r="Q12" s="231"/>
      <c r="R12" s="113">
        <f>N12*P12</f>
        <v>0</v>
      </c>
    </row>
    <row r="13" spans="1:18">
      <c r="A13" s="362" t="s">
        <v>462</v>
      </c>
      <c r="B13" s="113">
        <f>H13</f>
        <v>0.1007684908925104</v>
      </c>
      <c r="C13" s="231" t="s">
        <v>233</v>
      </c>
      <c r="D13" s="403">
        <f>'Table 3.42-Vol Flows'!E8/'Table 3.42-Vol Flows'!M8</f>
        <v>7.7466249662570624E-2</v>
      </c>
      <c r="E13" s="231" t="s">
        <v>234</v>
      </c>
      <c r="F13" s="113">
        <f>B13*D13</f>
        <v>7.8061570735996847E-3</v>
      </c>
      <c r="H13" s="113">
        <f>'Table 3.27-REC Detail ACS'!L49</f>
        <v>0.1007684908925104</v>
      </c>
      <c r="I13" s="231" t="s">
        <v>233</v>
      </c>
      <c r="J13" s="403">
        <f>'Table 3.42-Vol Flows'!E8/'Table 3.42-Vol Flows'!K8</f>
        <v>8.4957554864054416E-2</v>
      </c>
      <c r="K13" s="231" t="s">
        <v>234</v>
      </c>
      <c r="L13" s="113">
        <f>H13*J13</f>
        <v>8.5610445935684204E-3</v>
      </c>
      <c r="N13" s="113">
        <v>0</v>
      </c>
      <c r="O13" s="231"/>
      <c r="P13" s="403">
        <v>0</v>
      </c>
      <c r="Q13" s="231"/>
      <c r="R13" s="113">
        <f>N13*P13</f>
        <v>0</v>
      </c>
    </row>
    <row r="14" spans="1:18">
      <c r="A14" s="362"/>
      <c r="B14" s="113"/>
      <c r="C14" s="231"/>
      <c r="D14" s="403"/>
      <c r="E14" s="231"/>
      <c r="F14" s="113"/>
      <c r="H14" s="113"/>
      <c r="I14" s="231"/>
      <c r="J14" s="403"/>
      <c r="K14" s="231"/>
      <c r="L14" s="113"/>
      <c r="N14" s="113"/>
      <c r="O14" s="231"/>
      <c r="P14" s="403"/>
      <c r="Q14" s="231"/>
      <c r="R14" s="113"/>
    </row>
    <row r="15" spans="1:18">
      <c r="A15" s="180"/>
      <c r="B15" s="113"/>
      <c r="C15" s="113"/>
      <c r="D15" s="403"/>
      <c r="E15" s="195"/>
      <c r="F15" s="113">
        <f>SUM(F8:F13)</f>
        <v>6.9241792654057555E-2</v>
      </c>
      <c r="H15" s="113"/>
      <c r="I15" s="113"/>
      <c r="J15" s="403"/>
      <c r="K15" s="195"/>
      <c r="L15" s="113">
        <f>SUM(L8:L13)</f>
        <v>1.7608613756643635E-2</v>
      </c>
      <c r="N15" s="113"/>
      <c r="O15" s="113"/>
      <c r="P15" s="403"/>
      <c r="Q15" s="195"/>
      <c r="R15" s="113">
        <f>SUM(R8:R13)</f>
        <v>0.60317127753834743</v>
      </c>
    </row>
    <row r="16" spans="1:18">
      <c r="A16" s="321" t="s">
        <v>337</v>
      </c>
      <c r="B16" s="113"/>
      <c r="C16" s="113"/>
      <c r="D16" s="403"/>
      <c r="E16" s="195"/>
      <c r="F16" s="113"/>
      <c r="H16" s="113"/>
      <c r="I16" s="113"/>
      <c r="J16" s="403"/>
      <c r="K16" s="195"/>
      <c r="L16" s="113"/>
      <c r="N16" s="113"/>
      <c r="O16" s="113"/>
      <c r="P16" s="403"/>
      <c r="Q16" s="195"/>
      <c r="R16" s="113"/>
    </row>
    <row r="17" spans="1:21">
      <c r="A17" s="313" t="s">
        <v>760</v>
      </c>
      <c r="B17" s="113">
        <f>N17</f>
        <v>0.43553822294379502</v>
      </c>
      <c r="C17" s="113"/>
      <c r="D17" s="403">
        <f>'Table 3.42-Vol Flows'!H15/'Table 3.42-Vol Flows'!M15</f>
        <v>4.7497581460290102E-2</v>
      </c>
      <c r="E17" s="195"/>
      <c r="F17" s="113">
        <f>B17*D17</f>
        <v>2.0687012223342894E-2</v>
      </c>
      <c r="H17" s="113">
        <f>IF(SUM('Table 3.18-Nixie UAA'!D17:D18)&lt;&gt;0,SUM('Table 3.18-Nixie UAA'!I17:I18)/SUM('Table 3.18-Nixie UAA'!D17:D18),0)</f>
        <v>0</v>
      </c>
      <c r="I17" s="231" t="s">
        <v>237</v>
      </c>
      <c r="J17" s="403">
        <v>1</v>
      </c>
      <c r="K17" s="195"/>
      <c r="L17" s="113">
        <f>H17*J17</f>
        <v>0</v>
      </c>
      <c r="N17" s="113">
        <f>IF(SUM('Table 3.18-Nixie UAA'!D26:D27)&lt;&gt;0,SUM('Table 3.18-Nixie UAA'!I26:I27)/SUM('Table 3.18-Nixie UAA'!D26:D27),0)</f>
        <v>0.43553822294379502</v>
      </c>
      <c r="O17" s="231" t="s">
        <v>237</v>
      </c>
      <c r="P17" s="403">
        <v>1</v>
      </c>
      <c r="Q17" s="195"/>
      <c r="R17" s="113">
        <f>N17*P17</f>
        <v>0.43553822294379502</v>
      </c>
    </row>
    <row r="18" spans="1:21">
      <c r="A18" s="321"/>
      <c r="B18" s="113"/>
      <c r="C18" s="113"/>
      <c r="D18" s="403"/>
      <c r="E18" s="195"/>
      <c r="F18" s="113"/>
      <c r="H18" s="113"/>
      <c r="I18" s="113"/>
      <c r="J18" s="403"/>
      <c r="K18" s="195"/>
      <c r="L18" s="113"/>
      <c r="N18" s="113"/>
      <c r="O18" s="113"/>
      <c r="P18" s="403"/>
      <c r="Q18" s="195"/>
      <c r="R18" s="113"/>
    </row>
    <row r="19" spans="1:21">
      <c r="A19" s="313" t="s">
        <v>463</v>
      </c>
      <c r="B19" s="113"/>
      <c r="C19" s="113"/>
      <c r="D19" s="403"/>
      <c r="E19" s="195"/>
      <c r="F19" s="113"/>
      <c r="H19" s="113"/>
      <c r="I19" s="113"/>
      <c r="J19" s="403"/>
      <c r="K19" s="195"/>
      <c r="L19" s="113"/>
      <c r="N19" s="113"/>
      <c r="O19" s="113"/>
      <c r="P19" s="403"/>
      <c r="Q19" s="195"/>
      <c r="R19" s="113"/>
    </row>
    <row r="20" spans="1:21">
      <c r="A20" s="362" t="s">
        <v>125</v>
      </c>
      <c r="B20" s="113">
        <v>0</v>
      </c>
      <c r="C20" s="231"/>
      <c r="D20" s="403">
        <v>0</v>
      </c>
      <c r="E20" s="231"/>
      <c r="F20" s="113">
        <f>B20*D20</f>
        <v>0</v>
      </c>
      <c r="H20" s="113">
        <v>0</v>
      </c>
      <c r="I20" s="231"/>
      <c r="J20" s="403">
        <v>0</v>
      </c>
      <c r="K20" s="231"/>
      <c r="L20" s="113">
        <f>H20*J20</f>
        <v>0</v>
      </c>
      <c r="N20" s="113">
        <v>0</v>
      </c>
      <c r="O20" s="231"/>
      <c r="P20" s="403">
        <v>0</v>
      </c>
      <c r="Q20" s="231"/>
      <c r="R20" s="113">
        <f>N20*P20</f>
        <v>0</v>
      </c>
      <c r="U20" s="11"/>
    </row>
    <row r="21" spans="1:21">
      <c r="A21" s="362" t="s">
        <v>464</v>
      </c>
      <c r="B21" s="113">
        <f>SUM('Table 3.19-CFS UAA'!J26,'Table 3.19-CFS UAA'!J57)/SUM('Table 3.19-CFS UAA'!B26,'Table 3.19-CFS UAA'!B57)</f>
        <v>0.48415023875804414</v>
      </c>
      <c r="C21" s="231" t="s">
        <v>231</v>
      </c>
      <c r="D21" s="403">
        <f>('Table 3.42-Vol Flows'!C15+'Table 3.42-Vol Flows'!H15)/('Table 3.42-Vol Flows'!M15)</f>
        <v>6.1785117738385749E-2</v>
      </c>
      <c r="E21" s="231" t="s">
        <v>234</v>
      </c>
      <c r="F21" s="113">
        <f>B21*D21</f>
        <v>2.9913279504733329E-2</v>
      </c>
      <c r="H21" s="113">
        <f>'Table 3.19-CFS UAA'!K57</f>
        <v>0.48415023875804408</v>
      </c>
      <c r="I21" s="231" t="s">
        <v>231</v>
      </c>
      <c r="J21" s="403">
        <f>'Table 3.42-Vol Flows'!C15/'Table 3.42-Vol Flows'!K15</f>
        <v>1.5000000000000001E-2</v>
      </c>
      <c r="K21" s="231" t="s">
        <v>234</v>
      </c>
      <c r="L21" s="113">
        <f>H21*J21</f>
        <v>7.2622535813706614E-3</v>
      </c>
      <c r="N21" s="113">
        <f>'Table 3.19-CFS UAA'!K26</f>
        <v>0.48415023875804414</v>
      </c>
      <c r="O21" s="231" t="s">
        <v>231</v>
      </c>
      <c r="P21" s="403">
        <f>'Table 3.42-Vol Flows'!H15/'Table 3.42-Vol Flows'!L15</f>
        <v>1</v>
      </c>
      <c r="Q21" s="231" t="s">
        <v>234</v>
      </c>
      <c r="R21" s="113">
        <f>N21*P21</f>
        <v>0.48415023875804414</v>
      </c>
    </row>
    <row r="22" spans="1:21">
      <c r="A22" s="313"/>
      <c r="B22" s="113"/>
      <c r="C22" s="231"/>
      <c r="D22" s="403"/>
      <c r="E22" s="231"/>
      <c r="F22" s="113"/>
      <c r="H22" s="113"/>
      <c r="I22" s="231"/>
      <c r="J22" s="403"/>
      <c r="K22" s="231"/>
      <c r="L22" s="113"/>
      <c r="N22" s="113"/>
      <c r="O22" s="231"/>
      <c r="P22" s="403"/>
      <c r="Q22" s="231"/>
      <c r="R22" s="113"/>
    </row>
    <row r="23" spans="1:21">
      <c r="A23" s="313" t="s">
        <v>452</v>
      </c>
      <c r="B23" s="113"/>
      <c r="C23" s="231"/>
      <c r="D23" s="403"/>
      <c r="E23" s="231"/>
      <c r="F23" s="113"/>
      <c r="H23" s="113"/>
      <c r="I23" s="231"/>
      <c r="J23" s="403"/>
      <c r="K23" s="231"/>
      <c r="L23" s="113"/>
      <c r="N23" s="113"/>
      <c r="O23" s="231"/>
      <c r="P23" s="403"/>
      <c r="Q23" s="231"/>
      <c r="R23" s="113"/>
    </row>
    <row r="24" spans="1:21">
      <c r="A24" s="362" t="s">
        <v>461</v>
      </c>
      <c r="B24" s="113">
        <f>H24</f>
        <v>0</v>
      </c>
      <c r="C24" s="231"/>
      <c r="D24" s="403">
        <f>'Table 3.42-Vol Flows'!D15/'Table 3.42-Vol Flows'!M15</f>
        <v>0.79803258511918074</v>
      </c>
      <c r="E24" s="231" t="s">
        <v>234</v>
      </c>
      <c r="F24" s="113">
        <f>B24*D24</f>
        <v>0</v>
      </c>
      <c r="H24" s="113">
        <v>0</v>
      </c>
      <c r="I24" s="231"/>
      <c r="J24" s="403">
        <f>'Table 3.42-Vol Flows'!D15/'Table 3.42-Vol Flows'!K15</f>
        <v>0.83782735832067678</v>
      </c>
      <c r="K24" s="231" t="s">
        <v>234</v>
      </c>
      <c r="L24" s="113">
        <f>H24*J24</f>
        <v>0</v>
      </c>
      <c r="N24" s="113">
        <v>0</v>
      </c>
      <c r="O24" s="231"/>
      <c r="P24" s="403">
        <v>0</v>
      </c>
      <c r="Q24" s="231"/>
      <c r="R24" s="113">
        <f>N24*P24</f>
        <v>0</v>
      </c>
    </row>
    <row r="25" spans="1:21">
      <c r="A25" s="362" t="s">
        <v>462</v>
      </c>
      <c r="B25" s="113">
        <f>H25</f>
        <v>0.10076849089251042</v>
      </c>
      <c r="C25" s="231" t="s">
        <v>233</v>
      </c>
      <c r="D25" s="403">
        <f>'Table 3.42-Vol Flows'!E15/'Table 3.42-Vol Flows'!M15</f>
        <v>0.14018229714243352</v>
      </c>
      <c r="E25" s="231" t="s">
        <v>234</v>
      </c>
      <c r="F25" s="113">
        <f>B25*D25</f>
        <v>1.4125958532888502E-2</v>
      </c>
      <c r="H25" s="113">
        <f>'Table 3.27-REC Detail ACS'!L50</f>
        <v>0.10076849089251042</v>
      </c>
      <c r="I25" s="231" t="s">
        <v>233</v>
      </c>
      <c r="J25" s="403">
        <f>'Table 3.42-Vol Flows'!E15/'Table 3.42-Vol Flows'!K15</f>
        <v>0.14717264167932329</v>
      </c>
      <c r="K25" s="231" t="s">
        <v>234</v>
      </c>
      <c r="L25" s="113">
        <f>H25*J25</f>
        <v>1.4830365002689588E-2</v>
      </c>
      <c r="N25" s="113">
        <v>0</v>
      </c>
      <c r="O25" s="231"/>
      <c r="P25" s="403">
        <v>0</v>
      </c>
      <c r="Q25" s="231"/>
      <c r="R25" s="113">
        <f>N25*P25</f>
        <v>0</v>
      </c>
    </row>
    <row r="26" spans="1:21">
      <c r="A26" s="362"/>
      <c r="B26" s="113"/>
      <c r="C26" s="231"/>
      <c r="D26" s="403"/>
      <c r="E26" s="231"/>
      <c r="F26" s="113"/>
      <c r="H26" s="113"/>
      <c r="I26" s="231"/>
      <c r="J26" s="403"/>
      <c r="K26" s="231"/>
      <c r="L26" s="113"/>
      <c r="N26" s="113"/>
      <c r="O26" s="231"/>
      <c r="P26" s="403"/>
      <c r="Q26" s="231"/>
      <c r="R26" s="113"/>
    </row>
    <row r="27" spans="1:21">
      <c r="A27" s="196"/>
      <c r="B27" s="189"/>
      <c r="C27" s="189"/>
      <c r="D27" s="404"/>
      <c r="E27" s="197"/>
      <c r="F27" s="189">
        <f>SUM(F17:F25)</f>
        <v>6.4726250260964721E-2</v>
      </c>
      <c r="H27" s="189"/>
      <c r="I27" s="189"/>
      <c r="J27" s="404"/>
      <c r="K27" s="197"/>
      <c r="L27" s="189">
        <f>SUM(L17:L25)</f>
        <v>2.2092618584060249E-2</v>
      </c>
      <c r="N27" s="189"/>
      <c r="O27" s="189"/>
      <c r="P27" s="404"/>
      <c r="Q27" s="197"/>
      <c r="R27" s="189">
        <f>SUM(R17:R25)</f>
        <v>0.91968846170183916</v>
      </c>
    </row>
    <row r="28" spans="1:21">
      <c r="B28" s="19"/>
      <c r="C28" s="19"/>
      <c r="D28" s="248"/>
      <c r="E28" s="86"/>
      <c r="F28" s="19"/>
      <c r="H28" s="19"/>
      <c r="I28" s="19"/>
      <c r="J28" s="248"/>
      <c r="K28" s="86"/>
      <c r="L28" s="19"/>
      <c r="N28" s="19"/>
      <c r="O28" s="19"/>
      <c r="P28" s="248"/>
      <c r="Q28" s="86"/>
      <c r="R28" s="19"/>
    </row>
    <row r="29" spans="1:21">
      <c r="A29" s="193"/>
      <c r="B29" s="194"/>
      <c r="C29" s="194"/>
      <c r="D29" s="405" t="s">
        <v>126</v>
      </c>
      <c r="E29" s="198"/>
      <c r="F29" s="199" t="s">
        <v>206</v>
      </c>
      <c r="H29" s="194"/>
      <c r="I29" s="194"/>
      <c r="J29" s="405" t="s">
        <v>126</v>
      </c>
      <c r="K29" s="198"/>
      <c r="L29" s="199" t="s">
        <v>206</v>
      </c>
      <c r="N29" s="194"/>
      <c r="O29" s="194"/>
      <c r="P29" s="405" t="s">
        <v>126</v>
      </c>
      <c r="Q29" s="198"/>
      <c r="R29" s="199" t="s">
        <v>206</v>
      </c>
    </row>
    <row r="30" spans="1:21">
      <c r="A30" s="180"/>
      <c r="B30" s="113"/>
      <c r="C30" s="113"/>
      <c r="D30" s="406" t="s">
        <v>98</v>
      </c>
      <c r="E30" s="200"/>
      <c r="F30" s="322" t="s">
        <v>99</v>
      </c>
      <c r="H30" s="113"/>
      <c r="I30" s="113"/>
      <c r="J30" s="406" t="s">
        <v>98</v>
      </c>
      <c r="K30" s="200"/>
      <c r="L30" s="322" t="s">
        <v>99</v>
      </c>
      <c r="N30" s="113"/>
      <c r="O30" s="113"/>
      <c r="P30" s="406" t="s">
        <v>98</v>
      </c>
      <c r="Q30" s="200"/>
      <c r="R30" s="322" t="s">
        <v>99</v>
      </c>
    </row>
    <row r="31" spans="1:21">
      <c r="A31" s="236" t="s">
        <v>338</v>
      </c>
      <c r="B31" s="194">
        <f>F15</f>
        <v>6.9241792654057555E-2</v>
      </c>
      <c r="C31" s="113"/>
      <c r="D31" s="403">
        <f>'Table 3.42-Vol Flows'!M8/SUM('Table 3.42-Vol Flows'!M8,'Table 3.42-Vol Flows'!M15)</f>
        <v>0.27074443430610051</v>
      </c>
      <c r="E31" s="231" t="s">
        <v>234</v>
      </c>
      <c r="F31" s="113">
        <f>B31*D31</f>
        <v>1.8746829982463117E-2</v>
      </c>
      <c r="H31" s="194">
        <f>L15</f>
        <v>1.7608613756643635E-2</v>
      </c>
      <c r="I31" s="113"/>
      <c r="J31" s="403">
        <f>'Table 3.42-Vol Flows'!K8/SUM('Table 3.42-Vol Flows'!K8,'Table 3.42-Vol Flows'!K15)</f>
        <v>0.2622134472080761</v>
      </c>
      <c r="K31" s="231" t="s">
        <v>234</v>
      </c>
      <c r="L31" s="113">
        <f>H31*J31</f>
        <v>4.6172153136850788E-3</v>
      </c>
      <c r="N31" s="194">
        <f>R15</f>
        <v>0.60317127753834743</v>
      </c>
      <c r="O31" s="113"/>
      <c r="P31" s="403">
        <f>'Table 3.42-Vol Flows'!L8/SUM('Table 3.42-Vol Flows'!L8,'Table 3.42-Vol Flows'!L15)</f>
        <v>0.40801408137371692</v>
      </c>
      <c r="Q31" s="231" t="s">
        <v>234</v>
      </c>
      <c r="R31" s="113">
        <f>N31*P31</f>
        <v>0.24610237471582008</v>
      </c>
    </row>
    <row r="32" spans="1:21">
      <c r="A32" s="235" t="s">
        <v>103</v>
      </c>
      <c r="B32" s="113">
        <f>F27</f>
        <v>6.4726250260964721E-2</v>
      </c>
      <c r="C32" s="113"/>
      <c r="D32" s="403">
        <f>'Table 3.42-Vol Flows'!M15/SUM('Table 3.42-Vol Flows'!M8,'Table 3.42-Vol Flows'!M15)</f>
        <v>0.72925556569389949</v>
      </c>
      <c r="E32" s="231" t="s">
        <v>234</v>
      </c>
      <c r="F32" s="113">
        <f>B32*D32</f>
        <v>4.7201978249304735E-2</v>
      </c>
      <c r="H32" s="113">
        <f>L27</f>
        <v>2.2092618584060249E-2</v>
      </c>
      <c r="I32" s="113"/>
      <c r="J32" s="403">
        <f>'Table 3.42-Vol Flows'!K15/SUM('Table 3.42-Vol Flows'!K8,'Table 3.42-Vol Flows'!K15)</f>
        <v>0.73778655279192396</v>
      </c>
      <c r="K32" s="231" t="s">
        <v>234</v>
      </c>
      <c r="L32" s="113">
        <f>H32*J32</f>
        <v>1.6299636907280608E-2</v>
      </c>
      <c r="N32" s="113">
        <f>R27</f>
        <v>0.91968846170183916</v>
      </c>
      <c r="O32" s="113"/>
      <c r="P32" s="403">
        <f>'Table 3.42-Vol Flows'!L15/SUM('Table 3.42-Vol Flows'!L8,'Table 3.42-Vol Flows'!L15)</f>
        <v>0.59198591862628314</v>
      </c>
      <c r="Q32" s="231" t="s">
        <v>234</v>
      </c>
      <c r="R32" s="113">
        <f>N32*P32</f>
        <v>0.54444261885055645</v>
      </c>
    </row>
    <row r="33" spans="1:18">
      <c r="A33" s="180"/>
      <c r="B33" s="113"/>
      <c r="C33" s="113"/>
      <c r="D33" s="201"/>
      <c r="E33" s="201"/>
      <c r="F33" s="113"/>
      <c r="H33" s="113"/>
      <c r="I33" s="113"/>
      <c r="J33" s="403"/>
      <c r="K33" s="201"/>
      <c r="L33" s="113"/>
      <c r="N33" s="113"/>
      <c r="O33" s="113"/>
      <c r="P33" s="403"/>
      <c r="Q33" s="201"/>
      <c r="R33" s="113"/>
    </row>
    <row r="34" spans="1:18">
      <c r="A34" s="188" t="s">
        <v>127</v>
      </c>
      <c r="B34" s="189"/>
      <c r="C34" s="189"/>
      <c r="D34" s="404">
        <f>D31+D32</f>
        <v>1</v>
      </c>
      <c r="E34" s="202"/>
      <c r="F34" s="191">
        <f>F31+F32</f>
        <v>6.5948808231767853E-2</v>
      </c>
      <c r="G34" s="87"/>
      <c r="H34" s="189"/>
      <c r="I34" s="189"/>
      <c r="J34" s="404">
        <f>J31+J32</f>
        <v>1</v>
      </c>
      <c r="K34" s="202"/>
      <c r="L34" s="191">
        <f>L31+L32</f>
        <v>2.0916852220965686E-2</v>
      </c>
      <c r="N34" s="189"/>
      <c r="O34" s="189"/>
      <c r="P34" s="404">
        <f>P31+P32</f>
        <v>1</v>
      </c>
      <c r="Q34" s="202"/>
      <c r="R34" s="191">
        <f>R31+R32</f>
        <v>0.79054499356637653</v>
      </c>
    </row>
    <row r="35" spans="1:18" hidden="1"/>
    <row r="36" spans="1:18" hidden="1">
      <c r="A36" s="13" t="s">
        <v>183</v>
      </c>
      <c r="B36" s="105">
        <f>B9-H9</f>
        <v>0</v>
      </c>
      <c r="D36" s="105">
        <f>SUM(D8:D13)-1</f>
        <v>0</v>
      </c>
      <c r="F36" s="105">
        <f>F15-'Table 3.1-UAA Summary'!M50</f>
        <v>0</v>
      </c>
      <c r="H36" s="105">
        <f>H9-N9</f>
        <v>0</v>
      </c>
      <c r="J36" s="105">
        <f>SUM(J8:J13)-1</f>
        <v>0</v>
      </c>
      <c r="P36" s="105">
        <f>SUM(P8:P13)-1</f>
        <v>0</v>
      </c>
    </row>
    <row r="37" spans="1:18" hidden="1">
      <c r="B37" s="105">
        <f>B21-H21</f>
        <v>0</v>
      </c>
      <c r="D37" s="105">
        <f>SUM(D20:D25)-1</f>
        <v>0</v>
      </c>
      <c r="E37" s="13"/>
      <c r="F37" s="105">
        <f>F27-SUM('Table 3.1-UAA Summary'!K51:K52)/SUM('Table 3.1-UAA Summary'!L51:L51)</f>
        <v>0</v>
      </c>
      <c r="H37" s="105">
        <f>H21-N21</f>
        <v>0</v>
      </c>
      <c r="J37" s="105">
        <f>SUM(J20:J25)-1</f>
        <v>0</v>
      </c>
      <c r="P37" s="105">
        <f>SUM(P20:P25)-1</f>
        <v>0</v>
      </c>
    </row>
    <row r="38" spans="1:18" hidden="1">
      <c r="B38" s="167"/>
      <c r="D38" s="167"/>
      <c r="E38" s="13"/>
      <c r="F38" s="105">
        <f>F34-'Table 3.1-UAA Summary'!M53</f>
        <v>0</v>
      </c>
      <c r="H38" s="167"/>
      <c r="J38" s="167"/>
      <c r="L38" s="105">
        <f>L34-'Table 3.1-UAA Summary'!G53</f>
        <v>0</v>
      </c>
      <c r="P38" s="167"/>
      <c r="R38" s="105">
        <f>R34-'Table 3.1-UAA Summary'!J53</f>
        <v>0</v>
      </c>
    </row>
    <row r="39" spans="1:18">
      <c r="A39" s="204"/>
      <c r="B39" s="204"/>
      <c r="C39" s="204"/>
      <c r="D39" s="204"/>
    </row>
    <row r="40" spans="1:18">
      <c r="A40" t="s">
        <v>230</v>
      </c>
      <c r="B40" s="161"/>
      <c r="C40" s="161"/>
    </row>
    <row r="41" spans="1:18">
      <c r="A41" s="11" t="s">
        <v>87</v>
      </c>
    </row>
    <row r="42" spans="1:18">
      <c r="A42" s="11" t="s">
        <v>32</v>
      </c>
    </row>
    <row r="43" spans="1:18">
      <c r="A43" s="11" t="s">
        <v>701</v>
      </c>
    </row>
    <row r="44" spans="1:18">
      <c r="A44" s="11" t="s">
        <v>467</v>
      </c>
    </row>
    <row r="45" spans="1:18">
      <c r="A45" s="11" t="s">
        <v>664</v>
      </c>
    </row>
    <row r="46" spans="1:18">
      <c r="A46" s="11" t="s">
        <v>631</v>
      </c>
    </row>
  </sheetData>
  <phoneticPr fontId="0" type="noConversion"/>
  <printOptions horizontalCentered="1"/>
  <pageMargins left="0.75" right="0.75" top="1" bottom="1" header="0.5" footer="0.5"/>
  <pageSetup scale="81" orientation="landscape" r:id="rId1"/>
  <headerFooter alignWithMargins="0">
    <oddFooter>&amp;L&amp;F</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2">
    <pageSetUpPr fitToPage="1"/>
  </sheetPr>
  <dimension ref="A1:U46"/>
  <sheetViews>
    <sheetView zoomScale="70" workbookViewId="0"/>
  </sheetViews>
  <sheetFormatPr baseColWidth="10" defaultColWidth="8.83203125" defaultRowHeight="13"/>
  <cols>
    <col min="1" max="1" width="31.1640625" customWidth="1"/>
    <col min="2" max="2" width="10.5" customWidth="1"/>
    <col min="3" max="3" width="2.5" customWidth="1"/>
    <col min="4" max="4" width="10.1640625" customWidth="1"/>
    <col min="5" max="5" width="2.5" customWidth="1"/>
    <col min="6" max="6" width="12.5" customWidth="1"/>
    <col min="7" max="7" width="2.5" customWidth="1"/>
    <col min="8" max="8" width="10.5" customWidth="1"/>
    <col min="9" max="9" width="2.5" customWidth="1"/>
    <col min="10" max="10" width="10.1640625" customWidth="1"/>
    <col min="11" max="11" width="2.5" customWidth="1"/>
    <col min="12" max="12" width="12.5" customWidth="1"/>
    <col min="13" max="13" width="2.5" customWidth="1"/>
    <col min="14" max="14" width="10.5" customWidth="1"/>
    <col min="15" max="15" width="2.5" customWidth="1"/>
    <col min="16" max="16" width="10.1640625" customWidth="1"/>
    <col min="17" max="17" width="2.5" customWidth="1"/>
    <col min="18" max="18" width="12.5" customWidth="1"/>
  </cols>
  <sheetData>
    <row r="1" spans="1:18" ht="16">
      <c r="A1" s="117" t="s">
        <v>766</v>
      </c>
      <c r="B1" s="5"/>
      <c r="C1" s="5"/>
      <c r="D1" s="5"/>
      <c r="E1" s="5"/>
      <c r="F1" s="5"/>
    </row>
    <row r="2" spans="1:18" ht="17" thickBot="1">
      <c r="A2" s="117" t="s">
        <v>780</v>
      </c>
      <c r="B2" s="5"/>
      <c r="C2" s="5"/>
      <c r="D2" s="5"/>
      <c r="E2" s="5"/>
      <c r="F2" s="5"/>
    </row>
    <row r="3" spans="1:18" ht="14" thickBot="1">
      <c r="A3" s="15"/>
      <c r="B3" s="316" t="s">
        <v>265</v>
      </c>
      <c r="C3" s="317"/>
      <c r="D3" s="317"/>
      <c r="E3" s="318"/>
      <c r="F3" s="319"/>
      <c r="H3" s="316" t="s">
        <v>142</v>
      </c>
      <c r="I3" s="317"/>
      <c r="J3" s="317"/>
      <c r="K3" s="318"/>
      <c r="L3" s="319"/>
      <c r="N3" s="316" t="s">
        <v>339</v>
      </c>
      <c r="O3" s="317"/>
      <c r="P3" s="317"/>
      <c r="Q3" s="318"/>
      <c r="R3" s="319"/>
    </row>
    <row r="4" spans="1:18">
      <c r="B4" s="314" t="s">
        <v>123</v>
      </c>
      <c r="C4" s="20"/>
      <c r="D4" s="4"/>
      <c r="E4" s="4"/>
      <c r="F4" s="315" t="s">
        <v>112</v>
      </c>
      <c r="H4" s="314" t="s">
        <v>123</v>
      </c>
      <c r="I4" s="20"/>
      <c r="J4" s="4"/>
      <c r="K4" s="4"/>
      <c r="L4" s="315" t="s">
        <v>112</v>
      </c>
      <c r="N4" s="314" t="s">
        <v>123</v>
      </c>
      <c r="O4" s="20"/>
      <c r="P4" s="4"/>
      <c r="Q4" s="4"/>
      <c r="R4" s="315" t="s">
        <v>112</v>
      </c>
    </row>
    <row r="5" spans="1:18">
      <c r="B5" s="156" t="s">
        <v>99</v>
      </c>
      <c r="C5" s="234"/>
      <c r="D5" s="116" t="s">
        <v>92</v>
      </c>
      <c r="E5" s="116"/>
      <c r="F5" s="158" t="s">
        <v>99</v>
      </c>
      <c r="H5" s="156" t="s">
        <v>99</v>
      </c>
      <c r="I5" s="234"/>
      <c r="J5" s="116" t="s">
        <v>92</v>
      </c>
      <c r="K5" s="116"/>
      <c r="L5" s="158" t="s">
        <v>99</v>
      </c>
      <c r="N5" s="156" t="s">
        <v>99</v>
      </c>
      <c r="O5" s="234"/>
      <c r="P5" s="116" t="s">
        <v>92</v>
      </c>
      <c r="Q5" s="116"/>
      <c r="R5" s="158" t="s">
        <v>99</v>
      </c>
    </row>
    <row r="6" spans="1:18">
      <c r="A6" s="320" t="s">
        <v>124</v>
      </c>
      <c r="B6" s="192"/>
      <c r="C6" s="192"/>
      <c r="D6" s="193"/>
      <c r="E6" s="193"/>
      <c r="F6" s="194"/>
      <c r="H6" s="192"/>
      <c r="I6" s="192"/>
      <c r="J6" s="193"/>
      <c r="K6" s="193"/>
      <c r="L6" s="194"/>
      <c r="N6" s="192"/>
      <c r="O6" s="192"/>
      <c r="P6" s="193"/>
      <c r="Q6" s="193"/>
      <c r="R6" s="194"/>
    </row>
    <row r="7" spans="1:18">
      <c r="A7" s="313" t="s">
        <v>463</v>
      </c>
      <c r="B7" s="363"/>
      <c r="C7" s="363"/>
      <c r="D7" s="180"/>
      <c r="E7" s="180"/>
      <c r="F7" s="113"/>
      <c r="H7" s="363"/>
      <c r="I7" s="363"/>
      <c r="J7" s="180"/>
      <c r="K7" s="180"/>
      <c r="L7" s="113"/>
      <c r="N7" s="363"/>
      <c r="O7" s="363"/>
      <c r="P7" s="180"/>
      <c r="Q7" s="180"/>
      <c r="R7" s="113"/>
    </row>
    <row r="8" spans="1:18">
      <c r="A8" s="364" t="s">
        <v>465</v>
      </c>
      <c r="B8" s="113">
        <v>0</v>
      </c>
      <c r="C8" s="231"/>
      <c r="D8" s="403">
        <v>0</v>
      </c>
      <c r="E8" s="231"/>
      <c r="F8" s="113">
        <f>B8*D8</f>
        <v>0</v>
      </c>
      <c r="H8" s="113">
        <v>0</v>
      </c>
      <c r="I8" s="231"/>
      <c r="J8" s="403">
        <v>0</v>
      </c>
      <c r="K8" s="231"/>
      <c r="L8" s="113">
        <f>H8*J8</f>
        <v>0</v>
      </c>
      <c r="N8" s="113">
        <v>0</v>
      </c>
      <c r="O8" s="231"/>
      <c r="P8" s="403">
        <v>0</v>
      </c>
      <c r="Q8" s="231"/>
      <c r="R8" s="113">
        <f>N8*P8</f>
        <v>0</v>
      </c>
    </row>
    <row r="9" spans="1:18">
      <c r="A9" s="364" t="s">
        <v>466</v>
      </c>
      <c r="B9" s="113">
        <f>SUM('Table 3.19-CFS UAA'!J44,'Table 3.19-CFS UAA'!J13)/SUM('Table 3.19-CFS UAA'!B44,'Table 3.19-CFS UAA'!B13)</f>
        <v>0.60317127753834743</v>
      </c>
      <c r="C9" s="231" t="s">
        <v>231</v>
      </c>
      <c r="D9" s="403">
        <f>('Table 3.42-Vol Flows'!C8+'Table 3.42-Vol Flows'!H8)/('Table 3.42-Vol Flows'!M8)</f>
        <v>0.10185437846309253</v>
      </c>
      <c r="E9" s="231" t="s">
        <v>234</v>
      </c>
      <c r="F9" s="113">
        <f>B9*D9</f>
        <v>6.1435635580457865E-2</v>
      </c>
      <c r="H9" s="113">
        <f>'Table 3.19-CFS UAA'!K44</f>
        <v>0.60317127753834776</v>
      </c>
      <c r="I9" s="231" t="s">
        <v>231</v>
      </c>
      <c r="J9" s="403">
        <f>'Table 3.42-Vol Flows'!C8/'Table 3.42-Vol Flows'!K8</f>
        <v>1.4999999999999998E-2</v>
      </c>
      <c r="K9" s="231" t="s">
        <v>234</v>
      </c>
      <c r="L9" s="113">
        <f>H9*J9</f>
        <v>9.0475691630752149E-3</v>
      </c>
      <c r="N9" s="113">
        <f>'Table 3.19-CFS UAA'!K13</f>
        <v>0.60317127753834743</v>
      </c>
      <c r="O9" s="231" t="s">
        <v>231</v>
      </c>
      <c r="P9" s="403">
        <f>'Table 3.42-Vol Flows'!H8/'Table 3.42-Vol Flows'!L8</f>
        <v>1</v>
      </c>
      <c r="Q9" s="231" t="s">
        <v>234</v>
      </c>
      <c r="R9" s="113">
        <f>N9*P9</f>
        <v>0.60317127753834743</v>
      </c>
    </row>
    <row r="10" spans="1:18">
      <c r="A10" s="313"/>
      <c r="B10" s="113"/>
      <c r="C10" s="231"/>
      <c r="D10" s="403"/>
      <c r="E10" s="231"/>
      <c r="F10" s="113"/>
      <c r="H10" s="113"/>
      <c r="I10" s="231"/>
      <c r="J10" s="403"/>
      <c r="K10" s="231"/>
      <c r="L10" s="113"/>
      <c r="N10" s="113"/>
      <c r="O10" s="231"/>
      <c r="P10" s="403"/>
      <c r="Q10" s="231"/>
      <c r="R10" s="113"/>
    </row>
    <row r="11" spans="1:18">
      <c r="A11" s="313" t="s">
        <v>452</v>
      </c>
      <c r="B11" s="113"/>
      <c r="C11" s="231"/>
      <c r="D11" s="403"/>
      <c r="E11" s="231"/>
      <c r="F11" s="113"/>
      <c r="H11" s="180"/>
      <c r="I11" s="231"/>
      <c r="J11" s="403"/>
      <c r="K11" s="231"/>
      <c r="L11" s="113"/>
      <c r="N11" s="113"/>
      <c r="O11" s="231"/>
      <c r="P11" s="403"/>
      <c r="Q11" s="231"/>
      <c r="R11" s="113"/>
    </row>
    <row r="12" spans="1:18">
      <c r="A12" s="364" t="s">
        <v>468</v>
      </c>
      <c r="B12" s="113">
        <f>H12</f>
        <v>0</v>
      </c>
      <c r="C12" s="231"/>
      <c r="D12" s="403">
        <f>'Table 3.43-Elec Notice'!D12+'Table 3.43-Elec Notice'!D13</f>
        <v>0.89814562153690736</v>
      </c>
      <c r="E12" s="231" t="s">
        <v>234</v>
      </c>
      <c r="F12" s="113">
        <f>B12*D12</f>
        <v>0</v>
      </c>
      <c r="H12" s="113">
        <v>0</v>
      </c>
      <c r="I12" s="231"/>
      <c r="J12" s="403">
        <f>'Table 3.43-Elec Notice'!J12+'Table 3.43-Elec Notice'!J13</f>
        <v>0.98499999999999988</v>
      </c>
      <c r="K12" s="231" t="s">
        <v>234</v>
      </c>
      <c r="L12" s="113">
        <f>H12*J12</f>
        <v>0</v>
      </c>
      <c r="N12" s="113">
        <v>0</v>
      </c>
      <c r="O12" s="231"/>
      <c r="P12" s="403">
        <v>0</v>
      </c>
      <c r="Q12" s="231"/>
      <c r="R12" s="113">
        <f>N12*P12</f>
        <v>0</v>
      </c>
    </row>
    <row r="13" spans="1:18">
      <c r="A13" s="362" t="s">
        <v>462</v>
      </c>
      <c r="B13" s="113">
        <f>H13</f>
        <v>0.1007684908925104</v>
      </c>
      <c r="C13" s="231" t="s">
        <v>233</v>
      </c>
      <c r="D13" s="407">
        <v>0</v>
      </c>
      <c r="E13" s="231"/>
      <c r="F13" s="113">
        <f>B13*D13</f>
        <v>0</v>
      </c>
      <c r="H13" s="113">
        <f>'Table 3.27-REC Detail ACS'!L49</f>
        <v>0.1007684908925104</v>
      </c>
      <c r="I13" s="231" t="s">
        <v>233</v>
      </c>
      <c r="J13" s="407">
        <v>0</v>
      </c>
      <c r="K13" s="231"/>
      <c r="L13" s="113">
        <f>H13*J13</f>
        <v>0</v>
      </c>
      <c r="N13" s="113">
        <v>0</v>
      </c>
      <c r="O13" s="231"/>
      <c r="P13" s="403">
        <v>0</v>
      </c>
      <c r="Q13" s="231"/>
      <c r="R13" s="113">
        <f>N13*P13</f>
        <v>0</v>
      </c>
    </row>
    <row r="14" spans="1:18">
      <c r="A14" s="362"/>
      <c r="B14" s="113"/>
      <c r="C14" s="231"/>
      <c r="D14" s="403"/>
      <c r="E14" s="231"/>
      <c r="F14" s="113"/>
      <c r="H14" s="113"/>
      <c r="I14" s="231"/>
      <c r="J14" s="403"/>
      <c r="K14" s="231"/>
      <c r="L14" s="113"/>
      <c r="N14" s="113"/>
      <c r="O14" s="231"/>
      <c r="P14" s="403"/>
      <c r="Q14" s="231"/>
      <c r="R14" s="113"/>
    </row>
    <row r="15" spans="1:18">
      <c r="A15" s="180"/>
      <c r="B15" s="113"/>
      <c r="C15" s="113"/>
      <c r="D15" s="403"/>
      <c r="E15" s="195"/>
      <c r="F15" s="113">
        <f>SUM(F8:F13)</f>
        <v>6.1435635580457865E-2</v>
      </c>
      <c r="H15" s="113"/>
      <c r="I15" s="113"/>
      <c r="J15" s="403"/>
      <c r="K15" s="195"/>
      <c r="L15" s="113">
        <f>SUM(L8:L13)</f>
        <v>9.0475691630752149E-3</v>
      </c>
      <c r="N15" s="113"/>
      <c r="O15" s="113"/>
      <c r="P15" s="403"/>
      <c r="Q15" s="195"/>
      <c r="R15" s="113">
        <f>SUM(R8:R13)</f>
        <v>0.60317127753834743</v>
      </c>
    </row>
    <row r="16" spans="1:18">
      <c r="A16" s="321" t="s">
        <v>337</v>
      </c>
      <c r="B16" s="113"/>
      <c r="C16" s="113"/>
      <c r="D16" s="403"/>
      <c r="E16" s="195"/>
      <c r="F16" s="113"/>
      <c r="H16" s="113"/>
      <c r="I16" s="113"/>
      <c r="J16" s="403"/>
      <c r="K16" s="195"/>
      <c r="L16" s="113"/>
      <c r="N16" s="113"/>
      <c r="O16" s="113"/>
      <c r="P16" s="403"/>
      <c r="Q16" s="195"/>
      <c r="R16" s="113"/>
    </row>
    <row r="17" spans="1:21">
      <c r="A17" s="313" t="s">
        <v>760</v>
      </c>
      <c r="B17" s="113">
        <f>N17</f>
        <v>0.43553822294379502</v>
      </c>
      <c r="C17" s="113"/>
      <c r="D17" s="403">
        <f>'Table 3.42-Vol Flows'!H15/'Table 3.42-Vol Flows'!M15</f>
        <v>4.7497581460290102E-2</v>
      </c>
      <c r="E17" s="195"/>
      <c r="F17" s="113">
        <f>B17*D17</f>
        <v>2.0687012223342894E-2</v>
      </c>
      <c r="H17" s="113">
        <f>IF(SUM('Table 3.18-Nixie UAA'!D17:D18)&lt;&gt;0,SUM('Table 3.18-Nixie UAA'!I17:I18)/SUM('Table 3.18-Nixie UAA'!D17:D18),0)</f>
        <v>0</v>
      </c>
      <c r="I17" s="231" t="s">
        <v>234</v>
      </c>
      <c r="J17" s="403">
        <v>1</v>
      </c>
      <c r="K17" s="195"/>
      <c r="L17" s="113">
        <f>H17*J17</f>
        <v>0</v>
      </c>
      <c r="N17" s="113">
        <f>IF(SUM('Table 3.18-Nixie UAA'!D26:D27)&lt;&gt;0,SUM('Table 3.18-Nixie UAA'!I26:I27)/SUM('Table 3.18-Nixie UAA'!D26:D27),0)</f>
        <v>0.43553822294379502</v>
      </c>
      <c r="O17" s="231" t="s">
        <v>237</v>
      </c>
      <c r="P17" s="403">
        <v>1</v>
      </c>
      <c r="Q17" s="195"/>
      <c r="R17" s="113">
        <f>N17*P17</f>
        <v>0.43553822294379502</v>
      </c>
    </row>
    <row r="18" spans="1:21">
      <c r="A18" s="321"/>
      <c r="B18" s="113"/>
      <c r="C18" s="113"/>
      <c r="D18" s="403"/>
      <c r="E18" s="195"/>
      <c r="F18" s="113"/>
      <c r="H18" s="113"/>
      <c r="I18" s="113"/>
      <c r="J18" s="403"/>
      <c r="K18" s="195"/>
      <c r="L18" s="113"/>
      <c r="N18" s="113"/>
      <c r="O18" s="113"/>
      <c r="P18" s="403"/>
      <c r="Q18" s="195"/>
      <c r="R18" s="113"/>
    </row>
    <row r="19" spans="1:21">
      <c r="A19" s="313" t="s">
        <v>463</v>
      </c>
      <c r="B19" s="113"/>
      <c r="C19" s="113"/>
      <c r="D19" s="403"/>
      <c r="E19" s="195"/>
      <c r="F19" s="113"/>
      <c r="H19" s="113"/>
      <c r="I19" s="113"/>
      <c r="J19" s="403"/>
      <c r="K19" s="195"/>
      <c r="L19" s="113"/>
      <c r="N19" s="113"/>
      <c r="O19" s="113"/>
      <c r="P19" s="403"/>
      <c r="Q19" s="195"/>
      <c r="R19" s="113"/>
    </row>
    <row r="20" spans="1:21">
      <c r="A20" s="362" t="s">
        <v>125</v>
      </c>
      <c r="B20" s="113">
        <v>0</v>
      </c>
      <c r="C20" s="231"/>
      <c r="D20" s="403">
        <v>0</v>
      </c>
      <c r="E20" s="231"/>
      <c r="F20" s="113">
        <f>B20*D20</f>
        <v>0</v>
      </c>
      <c r="H20" s="113">
        <v>0</v>
      </c>
      <c r="I20" s="231"/>
      <c r="J20" s="403">
        <v>0</v>
      </c>
      <c r="K20" s="231"/>
      <c r="L20" s="113">
        <f>H20*J20</f>
        <v>0</v>
      </c>
      <c r="N20" s="113">
        <v>0</v>
      </c>
      <c r="O20" s="231"/>
      <c r="P20" s="403">
        <v>0</v>
      </c>
      <c r="Q20" s="231"/>
      <c r="R20" s="113">
        <f>N20*P20</f>
        <v>0</v>
      </c>
      <c r="U20" s="11"/>
    </row>
    <row r="21" spans="1:21">
      <c r="A21" s="362" t="s">
        <v>464</v>
      </c>
      <c r="B21" s="113">
        <f>SUM('Table 3.19-CFS UAA'!J26,'Table 3.19-CFS UAA'!J57)/SUM('Table 3.19-CFS UAA'!B26,'Table 3.19-CFS UAA'!B57)</f>
        <v>0.48415023875804414</v>
      </c>
      <c r="C21" s="231" t="s">
        <v>231</v>
      </c>
      <c r="D21" s="403">
        <f>('Table 3.42-Vol Flows'!C15+'Table 3.42-Vol Flows'!H15)/('Table 3.42-Vol Flows'!M15)</f>
        <v>6.1785117738385749E-2</v>
      </c>
      <c r="E21" s="231" t="s">
        <v>234</v>
      </c>
      <c r="F21" s="113">
        <f>B21*D21</f>
        <v>2.9913279504733329E-2</v>
      </c>
      <c r="H21" s="113">
        <f>'Table 3.19-CFS UAA'!K57</f>
        <v>0.48415023875804408</v>
      </c>
      <c r="I21" s="231" t="s">
        <v>231</v>
      </c>
      <c r="J21" s="403">
        <f>'Table 3.42-Vol Flows'!C15/'Table 3.42-Vol Flows'!K15</f>
        <v>1.5000000000000001E-2</v>
      </c>
      <c r="K21" s="231" t="s">
        <v>234</v>
      </c>
      <c r="L21" s="113">
        <f>H21*J21</f>
        <v>7.2622535813706614E-3</v>
      </c>
      <c r="N21" s="113">
        <f>'Table 3.19-CFS UAA'!K26</f>
        <v>0.48415023875804414</v>
      </c>
      <c r="O21" s="231" t="s">
        <v>231</v>
      </c>
      <c r="P21" s="403">
        <f>'Table 3.42-Vol Flows'!H15/'Table 3.42-Vol Flows'!L15</f>
        <v>1</v>
      </c>
      <c r="Q21" s="231" t="s">
        <v>234</v>
      </c>
      <c r="R21" s="113">
        <f>N21*P21</f>
        <v>0.48415023875804414</v>
      </c>
    </row>
    <row r="22" spans="1:21">
      <c r="A22" s="313"/>
      <c r="B22" s="113"/>
      <c r="C22" s="231"/>
      <c r="D22" s="403"/>
      <c r="E22" s="231"/>
      <c r="F22" s="113"/>
      <c r="H22" s="113"/>
      <c r="I22" s="231"/>
      <c r="J22" s="403"/>
      <c r="K22" s="231"/>
      <c r="L22" s="113"/>
      <c r="N22" s="113"/>
      <c r="O22" s="231"/>
      <c r="P22" s="403"/>
      <c r="Q22" s="231"/>
      <c r="R22" s="113"/>
    </row>
    <row r="23" spans="1:21">
      <c r="A23" s="313" t="s">
        <v>452</v>
      </c>
      <c r="B23" s="113"/>
      <c r="C23" s="231"/>
      <c r="D23" s="403"/>
      <c r="E23" s="231"/>
      <c r="F23" s="113"/>
      <c r="H23" s="113"/>
      <c r="I23" s="231"/>
      <c r="J23" s="403"/>
      <c r="K23" s="231"/>
      <c r="L23" s="113"/>
      <c r="N23" s="113"/>
      <c r="O23" s="231"/>
      <c r="P23" s="403"/>
      <c r="Q23" s="231"/>
      <c r="R23" s="113"/>
    </row>
    <row r="24" spans="1:21">
      <c r="A24" s="362" t="s">
        <v>461</v>
      </c>
      <c r="B24" s="113">
        <f>H24</f>
        <v>0</v>
      </c>
      <c r="C24" s="231"/>
      <c r="D24" s="403">
        <f>'Table 3.43-Elec Notice'!D24+'Table 3.43-Elec Notice'!D25</f>
        <v>0.93821488226161431</v>
      </c>
      <c r="E24" s="231" t="s">
        <v>234</v>
      </c>
      <c r="F24" s="113">
        <f>B24*D24</f>
        <v>0</v>
      </c>
      <c r="H24" s="113">
        <v>0</v>
      </c>
      <c r="I24" s="231"/>
      <c r="J24" s="403">
        <f>'Table 3.43-Elec Notice'!J24+'Table 3.43-Elec Notice'!J25</f>
        <v>0.9850000000000001</v>
      </c>
      <c r="K24" s="231" t="s">
        <v>234</v>
      </c>
      <c r="L24" s="113">
        <f>H24*J24</f>
        <v>0</v>
      </c>
      <c r="N24" s="113">
        <v>0</v>
      </c>
      <c r="O24" s="231"/>
      <c r="P24" s="403">
        <v>0</v>
      </c>
      <c r="Q24" s="231"/>
      <c r="R24" s="113">
        <f>N24*P24</f>
        <v>0</v>
      </c>
    </row>
    <row r="25" spans="1:21">
      <c r="A25" s="362" t="s">
        <v>462</v>
      </c>
      <c r="B25" s="113">
        <f>H25</f>
        <v>0.10076849089251042</v>
      </c>
      <c r="C25" s="231" t="s">
        <v>233</v>
      </c>
      <c r="D25" s="407">
        <v>0</v>
      </c>
      <c r="E25" s="231"/>
      <c r="F25" s="113">
        <f>B25*D25</f>
        <v>0</v>
      </c>
      <c r="H25" s="113">
        <f>'Table 3.27-REC Detail ACS'!L50</f>
        <v>0.10076849089251042</v>
      </c>
      <c r="I25" s="231" t="s">
        <v>233</v>
      </c>
      <c r="J25" s="407">
        <v>0</v>
      </c>
      <c r="K25" s="231"/>
      <c r="L25" s="113">
        <f>H25*J25</f>
        <v>0</v>
      </c>
      <c r="N25" s="113">
        <v>0</v>
      </c>
      <c r="O25" s="231"/>
      <c r="P25" s="403">
        <v>0</v>
      </c>
      <c r="Q25" s="231"/>
      <c r="R25" s="113">
        <f>N25*P25</f>
        <v>0</v>
      </c>
    </row>
    <row r="26" spans="1:21">
      <c r="A26" s="362"/>
      <c r="B26" s="113"/>
      <c r="C26" s="231"/>
      <c r="D26" s="403"/>
      <c r="E26" s="231"/>
      <c r="F26" s="113"/>
      <c r="H26" s="113"/>
      <c r="I26" s="231"/>
      <c r="J26" s="403"/>
      <c r="K26" s="231"/>
      <c r="L26" s="113"/>
      <c r="N26" s="113"/>
      <c r="O26" s="231"/>
      <c r="P26" s="403"/>
      <c r="Q26" s="231"/>
      <c r="R26" s="113"/>
    </row>
    <row r="27" spans="1:21">
      <c r="A27" s="196"/>
      <c r="B27" s="189"/>
      <c r="C27" s="189"/>
      <c r="D27" s="404"/>
      <c r="E27" s="197"/>
      <c r="F27" s="189">
        <f>SUM(F17:F25)</f>
        <v>5.0600291728076223E-2</v>
      </c>
      <c r="H27" s="189"/>
      <c r="I27" s="189"/>
      <c r="J27" s="404"/>
      <c r="K27" s="197"/>
      <c r="L27" s="189">
        <f>SUM(L17:L25)</f>
        <v>7.2622535813706614E-3</v>
      </c>
      <c r="N27" s="189"/>
      <c r="O27" s="189"/>
      <c r="P27" s="404"/>
      <c r="Q27" s="197"/>
      <c r="R27" s="189">
        <f>SUM(R17:R25)</f>
        <v>0.91968846170183916</v>
      </c>
    </row>
    <row r="28" spans="1:21">
      <c r="B28" s="19"/>
      <c r="C28" s="19"/>
      <c r="D28" s="248"/>
      <c r="E28" s="86"/>
      <c r="F28" s="19"/>
      <c r="H28" s="19"/>
      <c r="I28" s="19"/>
      <c r="J28" s="248"/>
      <c r="K28" s="86"/>
      <c r="L28" s="19"/>
      <c r="N28" s="19"/>
      <c r="O28" s="19"/>
      <c r="P28" s="248"/>
      <c r="Q28" s="86"/>
      <c r="R28" s="19"/>
    </row>
    <row r="29" spans="1:21">
      <c r="A29" s="193"/>
      <c r="B29" s="194"/>
      <c r="C29" s="194"/>
      <c r="D29" s="405" t="s">
        <v>126</v>
      </c>
      <c r="E29" s="198"/>
      <c r="F29" s="199" t="s">
        <v>206</v>
      </c>
      <c r="H29" s="194"/>
      <c r="I29" s="194"/>
      <c r="J29" s="405" t="s">
        <v>126</v>
      </c>
      <c r="K29" s="198"/>
      <c r="L29" s="199" t="s">
        <v>206</v>
      </c>
      <c r="N29" s="194"/>
      <c r="O29" s="194"/>
      <c r="P29" s="405" t="s">
        <v>126</v>
      </c>
      <c r="Q29" s="198"/>
      <c r="R29" s="199" t="s">
        <v>206</v>
      </c>
    </row>
    <row r="30" spans="1:21">
      <c r="A30" s="180"/>
      <c r="B30" s="113"/>
      <c r="C30" s="113"/>
      <c r="D30" s="406" t="s">
        <v>98</v>
      </c>
      <c r="E30" s="200"/>
      <c r="F30" s="322" t="s">
        <v>99</v>
      </c>
      <c r="H30" s="113"/>
      <c r="I30" s="113"/>
      <c r="J30" s="406" t="s">
        <v>98</v>
      </c>
      <c r="K30" s="200"/>
      <c r="L30" s="322" t="s">
        <v>99</v>
      </c>
      <c r="N30" s="113"/>
      <c r="O30" s="113"/>
      <c r="P30" s="406" t="s">
        <v>98</v>
      </c>
      <c r="Q30" s="200"/>
      <c r="R30" s="322" t="s">
        <v>99</v>
      </c>
    </row>
    <row r="31" spans="1:21">
      <c r="A31" s="236" t="s">
        <v>338</v>
      </c>
      <c r="B31" s="194">
        <f>F15</f>
        <v>6.1435635580457865E-2</v>
      </c>
      <c r="C31" s="113"/>
      <c r="D31" s="403">
        <f>'Table 3.42-Vol Flows'!M8/SUM('Table 3.42-Vol Flows'!M8,'Table 3.42-Vol Flows'!M15)</f>
        <v>0.27074443430610051</v>
      </c>
      <c r="E31" s="231" t="s">
        <v>234</v>
      </c>
      <c r="F31" s="113">
        <f>B31*D31</f>
        <v>1.6633356401466806E-2</v>
      </c>
      <c r="H31" s="194">
        <f>L15</f>
        <v>9.0475691630752149E-3</v>
      </c>
      <c r="I31" s="113"/>
      <c r="J31" s="403">
        <f>'Table 3.42-Vol Flows'!K8/SUM('Table 3.42-Vol Flows'!K8,'Table 3.42-Vol Flows'!K15)</f>
        <v>0.2622134472080761</v>
      </c>
      <c r="K31" s="231" t="s">
        <v>234</v>
      </c>
      <c r="L31" s="113">
        <f>H31*J31</f>
        <v>2.3723942991034403E-3</v>
      </c>
      <c r="N31" s="194">
        <f>R15</f>
        <v>0.60317127753834743</v>
      </c>
      <c r="O31" s="113"/>
      <c r="P31" s="403">
        <f>'Table 3.42-Vol Flows'!L8/SUM('Table 3.42-Vol Flows'!L8,'Table 3.42-Vol Flows'!L15)</f>
        <v>0.40801408137371692</v>
      </c>
      <c r="Q31" s="231" t="s">
        <v>234</v>
      </c>
      <c r="R31" s="113">
        <f>N31*P31</f>
        <v>0.24610237471582008</v>
      </c>
    </row>
    <row r="32" spans="1:21">
      <c r="A32" s="235" t="s">
        <v>103</v>
      </c>
      <c r="B32" s="113">
        <f>F27</f>
        <v>5.0600291728076223E-2</v>
      </c>
      <c r="C32" s="113"/>
      <c r="D32" s="403">
        <f>'Table 3.42-Vol Flows'!M15/SUM('Table 3.42-Vol Flows'!M8,'Table 3.42-Vol Flows'!M15)</f>
        <v>0.72925556569389949</v>
      </c>
      <c r="E32" s="231" t="s">
        <v>234</v>
      </c>
      <c r="F32" s="113">
        <f>B32*D32</f>
        <v>3.6900544368434568E-2</v>
      </c>
      <c r="H32" s="113">
        <f>L27</f>
        <v>7.2622535813706614E-3</v>
      </c>
      <c r="I32" s="113"/>
      <c r="J32" s="403">
        <f>'Table 3.42-Vol Flows'!K15/SUM('Table 3.42-Vol Flows'!K8,'Table 3.42-Vol Flows'!K15)</f>
        <v>0.73778655279192396</v>
      </c>
      <c r="K32" s="231" t="s">
        <v>234</v>
      </c>
      <c r="L32" s="113">
        <f>H32*J32</f>
        <v>5.3579930353002646E-3</v>
      </c>
      <c r="N32" s="113">
        <f>R27</f>
        <v>0.91968846170183916</v>
      </c>
      <c r="O32" s="113"/>
      <c r="P32" s="403">
        <f>'Table 3.42-Vol Flows'!L15/SUM('Table 3.42-Vol Flows'!L8,'Table 3.42-Vol Flows'!L15)</f>
        <v>0.59198591862628314</v>
      </c>
      <c r="Q32" s="231" t="s">
        <v>234</v>
      </c>
      <c r="R32" s="113">
        <f>N32*P32</f>
        <v>0.54444261885055645</v>
      </c>
    </row>
    <row r="33" spans="1:18">
      <c r="A33" s="180"/>
      <c r="B33" s="113"/>
      <c r="C33" s="113"/>
      <c r="D33" s="201"/>
      <c r="E33" s="201"/>
      <c r="F33" s="113"/>
      <c r="H33" s="113"/>
      <c r="I33" s="113"/>
      <c r="J33" s="403"/>
      <c r="K33" s="201"/>
      <c r="L33" s="113"/>
      <c r="N33" s="113"/>
      <c r="O33" s="113"/>
      <c r="P33" s="403"/>
      <c r="Q33" s="201"/>
      <c r="R33" s="113"/>
    </row>
    <row r="34" spans="1:18">
      <c r="A34" s="188" t="s">
        <v>127</v>
      </c>
      <c r="B34" s="189"/>
      <c r="C34" s="189"/>
      <c r="D34" s="404">
        <f>D31+D32</f>
        <v>1</v>
      </c>
      <c r="E34" s="202"/>
      <c r="F34" s="191">
        <f>F31+F32</f>
        <v>5.3533900769901374E-2</v>
      </c>
      <c r="G34" s="87"/>
      <c r="H34" s="189"/>
      <c r="I34" s="189"/>
      <c r="J34" s="404">
        <f>J31+J32</f>
        <v>1</v>
      </c>
      <c r="K34" s="202"/>
      <c r="L34" s="191">
        <f>L31+L32</f>
        <v>7.7303873344037044E-3</v>
      </c>
      <c r="N34" s="189"/>
      <c r="O34" s="189"/>
      <c r="P34" s="404">
        <f>P31+P32</f>
        <v>1</v>
      </c>
      <c r="Q34" s="202"/>
      <c r="R34" s="191">
        <f>R31+R32</f>
        <v>0.79054499356637653</v>
      </c>
    </row>
    <row r="35" spans="1:18" hidden="1"/>
    <row r="36" spans="1:18" hidden="1">
      <c r="A36" s="13" t="s">
        <v>183</v>
      </c>
      <c r="B36" s="105">
        <f>B9-H9</f>
        <v>0</v>
      </c>
      <c r="D36" s="105">
        <f>SUM(D8:D13)-1</f>
        <v>0</v>
      </c>
      <c r="F36" s="167"/>
      <c r="H36" s="105">
        <f>H9-N9</f>
        <v>0</v>
      </c>
      <c r="J36" s="105">
        <f>SUM(J8:J13)-1</f>
        <v>0</v>
      </c>
      <c r="P36" s="105">
        <f>SUM(P8:P13)-1</f>
        <v>0</v>
      </c>
    </row>
    <row r="37" spans="1:18" hidden="1">
      <c r="B37" s="105">
        <f>B21-H21</f>
        <v>0</v>
      </c>
      <c r="D37" s="105">
        <f>SUM(D20:D25)-1</f>
        <v>0</v>
      </c>
      <c r="E37" s="13"/>
      <c r="F37" s="167"/>
      <c r="H37" s="105">
        <f>H21-N21</f>
        <v>0</v>
      </c>
      <c r="J37" s="105">
        <f>SUM(J20:J25)-1</f>
        <v>0</v>
      </c>
      <c r="P37" s="105">
        <f>SUM(P20:P25)-1</f>
        <v>0</v>
      </c>
    </row>
    <row r="38" spans="1:18" hidden="1">
      <c r="B38" s="167"/>
      <c r="D38" s="167"/>
      <c r="E38" s="13"/>
      <c r="F38" s="167"/>
      <c r="H38" s="167"/>
      <c r="J38" s="167"/>
      <c r="L38" s="167"/>
      <c r="P38" s="167"/>
      <c r="R38" s="167"/>
    </row>
    <row r="39" spans="1:18">
      <c r="A39" s="204"/>
      <c r="B39" s="204"/>
      <c r="C39" s="204"/>
      <c r="D39" s="204"/>
    </row>
    <row r="40" spans="1:18">
      <c r="A40" t="s">
        <v>230</v>
      </c>
      <c r="B40" s="161"/>
      <c r="C40" s="161"/>
    </row>
    <row r="41" spans="1:18">
      <c r="A41" s="11" t="s">
        <v>87</v>
      </c>
    </row>
    <row r="42" spans="1:18">
      <c r="A42" s="11" t="s">
        <v>32</v>
      </c>
    </row>
    <row r="43" spans="1:18">
      <c r="A43" s="11" t="s">
        <v>22</v>
      </c>
    </row>
    <row r="44" spans="1:18">
      <c r="A44" s="11" t="s">
        <v>467</v>
      </c>
    </row>
    <row r="45" spans="1:18">
      <c r="A45" s="11" t="s">
        <v>664</v>
      </c>
    </row>
    <row r="46" spans="1:18">
      <c r="A46" s="11" t="s">
        <v>9</v>
      </c>
    </row>
  </sheetData>
  <phoneticPr fontId="0" type="noConversion"/>
  <printOptions horizontalCentered="1"/>
  <pageMargins left="0.75" right="0.75" top="1" bottom="1" header="0.5" footer="0.5"/>
  <pageSetup scale="81" orientation="landscape" r:id="rId1"/>
  <headerFooter alignWithMargins="0">
    <oddFooter>&amp;L&amp;F</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dimension ref="B3:G48"/>
  <sheetViews>
    <sheetView tabSelected="1" zoomScale="55" workbookViewId="0"/>
  </sheetViews>
  <sheetFormatPr baseColWidth="10" defaultColWidth="8.83203125" defaultRowHeight="13"/>
  <cols>
    <col min="3" max="3" width="13.5" customWidth="1"/>
  </cols>
  <sheetData>
    <row r="3" spans="2:7">
      <c r="B3" s="169" t="s">
        <v>228</v>
      </c>
      <c r="C3" s="170" t="s">
        <v>229</v>
      </c>
    </row>
    <row r="4" spans="2:7">
      <c r="B4" s="171">
        <v>1</v>
      </c>
      <c r="C4" s="240">
        <f>SUM('Table 3.1-UAA Summary'!E63:N65,'Table 3.1-UAA Summary'!J69:J74,'Table 3.1-UAA Summary'!P69:P76)</f>
        <v>0</v>
      </c>
      <c r="D4" s="11"/>
    </row>
    <row r="5" spans="2:7">
      <c r="B5" s="171">
        <f>B4+1</f>
        <v>2</v>
      </c>
      <c r="C5" s="240">
        <f>SUM('Table 3.2-Total Fwd Summary'!B37:B39,'Table 3.2-Total Fwd Summary'!K37:K44)</f>
        <v>0</v>
      </c>
      <c r="D5" s="11"/>
    </row>
    <row r="6" spans="2:7">
      <c r="B6" s="171">
        <f t="shared" ref="B6:B29" si="0">B5+1</f>
        <v>3</v>
      </c>
      <c r="C6" s="240">
        <f>SUM('Table 3.3-PARS Fwd Summary'!B32:B34,'Table 3.3-PARS Fwd Summary'!K32:K39)</f>
        <v>0</v>
      </c>
      <c r="D6" s="11"/>
      <c r="G6" s="11"/>
    </row>
    <row r="7" spans="2:7">
      <c r="B7" s="171">
        <f t="shared" si="0"/>
        <v>4</v>
      </c>
      <c r="C7" s="240">
        <f>SUM('Table 3.4-NonPARS Fwd Summary'!K27:K32)</f>
        <v>0</v>
      </c>
      <c r="D7" s="11"/>
      <c r="G7" s="11"/>
    </row>
    <row r="8" spans="2:7">
      <c r="B8" s="171">
        <f t="shared" si="0"/>
        <v>5</v>
      </c>
      <c r="C8" s="240">
        <f>SUM('Table 3.5-Total RTS Summary'!B41:B43,'Table 3.5-Total RTS Summary'!K41:K48)</f>
        <v>0</v>
      </c>
      <c r="D8" s="11"/>
      <c r="G8" s="11"/>
    </row>
    <row r="9" spans="2:7">
      <c r="B9" s="171">
        <f t="shared" si="0"/>
        <v>6</v>
      </c>
      <c r="C9" s="240">
        <f>SUM('Table 3.6-PARS RTS Summary'!B71:B77,'Table 3.6-PARS RTS Summary'!K71:K78)</f>
        <v>0</v>
      </c>
      <c r="F9" s="11"/>
    </row>
    <row r="10" spans="2:7">
      <c r="B10" s="171">
        <f t="shared" si="0"/>
        <v>7</v>
      </c>
      <c r="C10" s="240">
        <f>SUM('Table 3.7-NonPARS RTS Summary'!K32:K37)</f>
        <v>0</v>
      </c>
    </row>
    <row r="11" spans="2:7">
      <c r="B11" s="171">
        <f t="shared" si="0"/>
        <v>8</v>
      </c>
      <c r="C11" s="240">
        <f>SUM('Table 3.8-Total Wst Summary'!B21:B23,'Table 3.8-Total Wst Summary'!K21:K26)</f>
        <v>0</v>
      </c>
    </row>
    <row r="12" spans="2:7">
      <c r="B12" s="171">
        <f t="shared" si="0"/>
        <v>9</v>
      </c>
      <c r="C12" s="240">
        <f>SUM('Table 3.9-PARS Wst Summary'!B50:B55,'Table 3.9-PARS Wst Summary'!K50:K55)</f>
        <v>0</v>
      </c>
    </row>
    <row r="13" spans="2:7">
      <c r="B13" s="171">
        <f t="shared" si="0"/>
        <v>10</v>
      </c>
      <c r="C13" s="240">
        <f>SUM('Table 3.10-NonPARS Wst Summary'!K22:K25)</f>
        <v>0</v>
      </c>
      <c r="D13" s="11"/>
    </row>
    <row r="14" spans="2:7">
      <c r="B14" s="171">
        <f t="shared" si="0"/>
        <v>11</v>
      </c>
      <c r="C14" s="240">
        <f>SUM('Table 3.11-Form3547 Costs'!H72:H78,'Table 3.11-Form3547 Costs'!P72:P78)</f>
        <v>0</v>
      </c>
      <c r="D14" s="11"/>
    </row>
    <row r="15" spans="2:7">
      <c r="B15" s="171">
        <f t="shared" si="0"/>
        <v>12</v>
      </c>
      <c r="C15" s="240">
        <f>SUM('Table 3.12-Form3579 Costs'!H14:H15,'Table 3.12-Form3579 Costs'!P14)</f>
        <v>0</v>
      </c>
    </row>
    <row r="16" spans="2:7">
      <c r="B16" s="171">
        <f t="shared" si="0"/>
        <v>13</v>
      </c>
      <c r="C16" s="240">
        <f>SUM('Table 3.13-COA Costs'!D81:H83)</f>
        <v>0</v>
      </c>
    </row>
    <row r="17" spans="2:4">
      <c r="B17" s="171">
        <f t="shared" si="0"/>
        <v>14</v>
      </c>
      <c r="C17" s="240">
        <f>SUM('Table 3.14-Route UAA'!N7:P39,'Table 3.14-Route UAA'!N48:Q111,'Table 3.14-Route UAA'!B114:J118)</f>
        <v>-3.2157432272583719E-10</v>
      </c>
    </row>
    <row r="18" spans="2:4">
      <c r="B18" s="171">
        <f t="shared" si="0"/>
        <v>15</v>
      </c>
      <c r="C18" s="240">
        <f>SUM('Table 3.15-Route UAA NoPARS'!B114:J118)</f>
        <v>-3.2014213502407074E-10</v>
      </c>
      <c r="D18" s="11"/>
    </row>
    <row r="19" spans="2:4">
      <c r="B19" s="171">
        <f t="shared" si="0"/>
        <v>16</v>
      </c>
      <c r="C19" s="240">
        <f>SUM('Table 3.16-Route UAA PARS'!B114:J118)</f>
        <v>-3.2014213502407074E-10</v>
      </c>
    </row>
    <row r="20" spans="2:4">
      <c r="B20" s="171">
        <f t="shared" si="0"/>
        <v>17</v>
      </c>
      <c r="C20" s="240">
        <f>SUM('Table 3.17-No Record Mail'!B29:B31,'Table 3.17-No Record Mail'!J29:J31)</f>
        <v>0</v>
      </c>
    </row>
    <row r="21" spans="2:4">
      <c r="B21" s="171">
        <f t="shared" si="0"/>
        <v>18</v>
      </c>
      <c r="C21" s="240">
        <f>SUM('Table 3.18-Nixie UAA'!B43:D48,'Table 3.18-Nixie UAA'!I43:J43)</f>
        <v>6.6188476921524853E-10</v>
      </c>
    </row>
    <row r="22" spans="2:4">
      <c r="B22" s="171">
        <f t="shared" si="0"/>
        <v>19</v>
      </c>
      <c r="C22" s="240">
        <f>SUM('Table 3.19-CFS UAA'!H96:H97,'Table 3.19-CFS UAA'!M96:M97,'Table 3.19-CFS UAA'!B99:B100,'Table 3.19-CFS UAA'!J99:J100,'Table 3.19-CFS UAA'!H102:H104,'Table 3.19-CFS UAA'!M102:M104,'Table 3.19-CFS UAA'!B106:B108,'Table 3.19-CFS UAA'!H106:H108,'Table 3.19-CFS UAA'!B110:D111)</f>
        <v>0</v>
      </c>
    </row>
    <row r="23" spans="2:4">
      <c r="B23" s="171">
        <f t="shared" si="0"/>
        <v>20</v>
      </c>
      <c r="C23" s="240">
        <f>SUM('Table 3.20-CFS Non-CIOSS'!F90:F94,'Table 3.20-CFS Non-CIOSS'!B97:B101,'Table 3.20-CFS Non-CIOSS'!F103:F109,'Table 3.20-CFS Non-CIOSS'!B111:B114)</f>
        <v>0</v>
      </c>
    </row>
    <row r="24" spans="2:4">
      <c r="B24" s="171">
        <f t="shared" si="0"/>
        <v>21</v>
      </c>
      <c r="C24" s="240">
        <f>SUM('Table 3.21-CFS CIOSS Rejs'!F90:F94,'Table 3.21-CFS CIOSS Rejs'!B97:B101,'Table 3.21-CFS CIOSS Rejs'!F103:F109,'Table 3.21-CFS CIOSS Rejs'!B111:B114)</f>
        <v>0</v>
      </c>
    </row>
    <row r="25" spans="2:4">
      <c r="B25" s="171">
        <f t="shared" si="0"/>
        <v>22</v>
      </c>
      <c r="C25" s="240"/>
      <c r="D25" s="11"/>
    </row>
    <row r="26" spans="2:4">
      <c r="B26" s="171">
        <f t="shared" si="0"/>
        <v>23</v>
      </c>
      <c r="C26" s="240">
        <f>SUM('Table 3.23-CIOSS Summary'!C16:J16)</f>
        <v>0</v>
      </c>
      <c r="D26" s="11"/>
    </row>
    <row r="27" spans="2:4">
      <c r="B27" s="171">
        <f t="shared" si="0"/>
        <v>24</v>
      </c>
      <c r="C27" s="240">
        <f>SUM('Table 3.24-CIOSS Detail'!E42:F45)</f>
        <v>0</v>
      </c>
    </row>
    <row r="28" spans="2:4">
      <c r="B28" s="171">
        <f t="shared" si="0"/>
        <v>25</v>
      </c>
      <c r="C28" s="240">
        <f>SUM('Table 3.25-REC Summary'!C20:N20)</f>
        <v>0</v>
      </c>
    </row>
    <row r="29" spans="2:4">
      <c r="B29" s="171">
        <f t="shared" si="0"/>
        <v>26</v>
      </c>
      <c r="C29" s="240">
        <f>SUM('Table 3.26-REC Detail NonACS'!E52:F56,'Table 3.26-REC Detail NonACS'!K52:L52)</f>
        <v>0</v>
      </c>
    </row>
    <row r="30" spans="2:4">
      <c r="B30" s="171">
        <f>B29+1</f>
        <v>27</v>
      </c>
      <c r="C30" s="240">
        <f>SUM('Table 3.27-REC Detail ACS'!E52:L56)</f>
        <v>0</v>
      </c>
    </row>
    <row r="31" spans="2:4">
      <c r="B31" s="171">
        <f t="shared" ref="B31:B47" si="1">B30+1</f>
        <v>28</v>
      </c>
      <c r="C31" s="240">
        <f>SUM('Table 3.28-REC Volume'!E49:H52)</f>
        <v>0</v>
      </c>
    </row>
    <row r="32" spans="2:4">
      <c r="B32" s="171">
        <f t="shared" si="1"/>
        <v>29</v>
      </c>
      <c r="C32" s="240"/>
    </row>
    <row r="33" spans="2:3">
      <c r="B33" s="171">
        <f t="shared" si="1"/>
        <v>30</v>
      </c>
      <c r="C33" s="240">
        <f>SUM('Table 3.30-UAA MP Cost'!B36:F37)</f>
        <v>0</v>
      </c>
    </row>
    <row r="34" spans="2:3">
      <c r="B34" s="171">
        <f t="shared" si="1"/>
        <v>31</v>
      </c>
      <c r="C34" s="240">
        <f>SUM('Table 3.31-Rating Post Due'!B29:I29)</f>
        <v>0</v>
      </c>
    </row>
    <row r="35" spans="2:3">
      <c r="B35" s="171">
        <f t="shared" si="1"/>
        <v>32</v>
      </c>
      <c r="C35" s="240">
        <f>SUM('Table 3.32-Accounting Post Due'!C15:F21)</f>
        <v>0</v>
      </c>
    </row>
    <row r="36" spans="2:3">
      <c r="B36" s="171">
        <f t="shared" si="1"/>
        <v>33</v>
      </c>
      <c r="C36" s="240">
        <f>SUM('Table 3.33-Delivery Post Due'!C22:D35)</f>
        <v>0</v>
      </c>
    </row>
    <row r="37" spans="2:3">
      <c r="B37" s="171">
        <f t="shared" si="1"/>
        <v>34</v>
      </c>
      <c r="C37" s="240">
        <f>SUM('Table 3.34-Window Post Due'!C15:D19)</f>
        <v>0</v>
      </c>
    </row>
    <row r="38" spans="2:3">
      <c r="B38" s="171">
        <f t="shared" si="1"/>
        <v>35</v>
      </c>
      <c r="C38" s="240"/>
    </row>
    <row r="39" spans="2:3">
      <c r="B39" s="171">
        <f t="shared" si="1"/>
        <v>36</v>
      </c>
      <c r="C39" s="240">
        <f>'Table 3.36-Process Form 3546'!F19</f>
        <v>0</v>
      </c>
    </row>
    <row r="40" spans="2:3">
      <c r="B40" s="171">
        <f t="shared" si="1"/>
        <v>37</v>
      </c>
      <c r="C40" s="240"/>
    </row>
    <row r="41" spans="2:3">
      <c r="B41" s="171">
        <f t="shared" si="1"/>
        <v>38</v>
      </c>
      <c r="C41" s="240"/>
    </row>
    <row r="42" spans="2:3">
      <c r="B42" s="171">
        <f t="shared" si="1"/>
        <v>39</v>
      </c>
      <c r="C42" s="240"/>
    </row>
    <row r="43" spans="2:3">
      <c r="B43" s="171">
        <f t="shared" si="1"/>
        <v>40</v>
      </c>
      <c r="C43" s="240"/>
    </row>
    <row r="44" spans="2:3">
      <c r="B44" s="171">
        <f t="shared" si="1"/>
        <v>41</v>
      </c>
      <c r="C44" s="240">
        <f>SUM('Table 3.41-Man Notice'!F37:F39)</f>
        <v>0</v>
      </c>
    </row>
    <row r="45" spans="2:3">
      <c r="B45" s="171">
        <f t="shared" si="1"/>
        <v>42</v>
      </c>
      <c r="C45" s="240">
        <f>SUM('Table 3.42-Vol Flows'!B26:M30)</f>
        <v>0</v>
      </c>
    </row>
    <row r="46" spans="2:3">
      <c r="B46" s="171">
        <f t="shared" si="1"/>
        <v>43</v>
      </c>
      <c r="C46" s="240">
        <f>SUM('Table 3.43-Elec Notice'!B36:R38)</f>
        <v>0</v>
      </c>
    </row>
    <row r="47" spans="2:3">
      <c r="B47" s="172">
        <f t="shared" si="1"/>
        <v>44</v>
      </c>
      <c r="C47" s="241">
        <f>SUM('Table 3.44-One Code ACS'!B36:P37)</f>
        <v>0</v>
      </c>
    </row>
    <row r="48" spans="2:3">
      <c r="C48" s="417">
        <f>SUM(C4:C47)</f>
        <v>-2.9997382355873015E-10</v>
      </c>
    </row>
  </sheetData>
  <phoneticPr fontId="5"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46</vt:i4>
      </vt:variant>
      <vt:variant>
        <vt:lpstr>Named Ranges</vt:lpstr>
      </vt:variant>
      <vt:variant>
        <vt:i4>23</vt:i4>
      </vt:variant>
    </vt:vector>
  </HeadingPairs>
  <TitlesOfParts>
    <vt:vector size="69" baseType="lpstr">
      <vt:lpstr>Cover</vt:lpstr>
      <vt:lpstr>Table 3.1-UAA Summary</vt:lpstr>
      <vt:lpstr>Table 3.2-Total Fwd Summary</vt:lpstr>
      <vt:lpstr>Table 3.3-PARS Fwd Summary</vt:lpstr>
      <vt:lpstr>Table 3.4-NonPARS Fwd Summary</vt:lpstr>
      <vt:lpstr>Table 3.5-Total RTS Summary</vt:lpstr>
      <vt:lpstr>Table 3.6-PARS RTS Summary</vt:lpstr>
      <vt:lpstr>Table 3.7-NonPARS RTS Summary</vt:lpstr>
      <vt:lpstr>Table 3.8-Total Wst Summary</vt:lpstr>
      <vt:lpstr>Table 3.9-PARS Wst Summary</vt:lpstr>
      <vt:lpstr>Table 3.10-NonPARS Wst Summary</vt:lpstr>
      <vt:lpstr>Table 3.11-Form3547 Costs</vt:lpstr>
      <vt:lpstr>Table 3.12-Form3579 Costs</vt:lpstr>
      <vt:lpstr>Table 3.13-COA Costs</vt:lpstr>
      <vt:lpstr>Table 3.14-Route UAA</vt:lpstr>
      <vt:lpstr>Table 3.15-Route UAA NoPARS</vt:lpstr>
      <vt:lpstr>Table 3.16-Route UAA PARS</vt:lpstr>
      <vt:lpstr>Table 3.17-No Record Mail</vt:lpstr>
      <vt:lpstr>Table 3.18-Nixie UAA</vt:lpstr>
      <vt:lpstr>Table 3.19-CFS UAA</vt:lpstr>
      <vt:lpstr>Table 3.20-CFS Non-CIOSS</vt:lpstr>
      <vt:lpstr>Table 3.21-CFS CIOSS Rejs</vt:lpstr>
      <vt:lpstr>Table 3.22-CFS Key Rates</vt:lpstr>
      <vt:lpstr>Table 3.23-CIOSS Summary</vt:lpstr>
      <vt:lpstr>Table 3.24-CIOSS Detail</vt:lpstr>
      <vt:lpstr>Table 3.25-REC Summary</vt:lpstr>
      <vt:lpstr>Table 3.26-REC Detail NonACS</vt:lpstr>
      <vt:lpstr>Table 3.27-REC Detail ACS</vt:lpstr>
      <vt:lpstr>Table 3.28-REC Volume</vt:lpstr>
      <vt:lpstr>Table 3.29-UAA MP Units</vt:lpstr>
      <vt:lpstr>Table 3.30-UAA MP Cost</vt:lpstr>
      <vt:lpstr>Table 3.31-Rating Post Due</vt:lpstr>
      <vt:lpstr>Table 3.32-Accounting Post Due</vt:lpstr>
      <vt:lpstr>Table 3.33-Delivery Post Due</vt:lpstr>
      <vt:lpstr>Table 3.34-Window Post Due</vt:lpstr>
      <vt:lpstr>Table 3.35-PD Vols</vt:lpstr>
      <vt:lpstr>Table 3.36-Process Form 3546</vt:lpstr>
      <vt:lpstr>Table 3.37-Notice Inputs</vt:lpstr>
      <vt:lpstr>Table 3.38-Form 3547 Dist</vt:lpstr>
      <vt:lpstr>Table 3.39-Form 3579 Dist</vt:lpstr>
      <vt:lpstr>Table 3.40-Form Processing</vt:lpstr>
      <vt:lpstr>Table 3.41-Man Notice</vt:lpstr>
      <vt:lpstr>Table 3.42-Vol Flows</vt:lpstr>
      <vt:lpstr>Table 3.43-Elec Notice</vt:lpstr>
      <vt:lpstr>Table 3.44-One Code ACS</vt:lpstr>
      <vt:lpstr>checksum</vt:lpstr>
      <vt:lpstr>'Table 3.1-UAA Summary'!Print_Area</vt:lpstr>
      <vt:lpstr>'Table 3.11-Form3547 Costs'!Print_Area</vt:lpstr>
      <vt:lpstr>'Table 3.13-COA Costs'!Print_Area</vt:lpstr>
      <vt:lpstr>'Table 3.14-Route UAA'!Print_Area</vt:lpstr>
      <vt:lpstr>'Table 3.15-Route UAA NoPARS'!Print_Area</vt:lpstr>
      <vt:lpstr>'Table 3.16-Route UAA PARS'!Print_Area</vt:lpstr>
      <vt:lpstr>'Table 3.17-No Record Mail'!Print_Area</vt:lpstr>
      <vt:lpstr>'Table 3.18-Nixie UAA'!Print_Area</vt:lpstr>
      <vt:lpstr>'Table 3.19-CFS UAA'!Print_Area</vt:lpstr>
      <vt:lpstr>'Table 3.21-CFS CIOSS Rejs'!Print_Area</vt:lpstr>
      <vt:lpstr>'Table 3.22-CFS Key Rates'!Print_Area</vt:lpstr>
      <vt:lpstr>'Table 3.26-REC Detail NonACS'!Print_Area</vt:lpstr>
      <vt:lpstr>'Table 3.27-REC Detail ACS'!Print_Area</vt:lpstr>
      <vt:lpstr>'Table 3.29-UAA MP Units'!Print_Area</vt:lpstr>
      <vt:lpstr>'Table 3.31-Rating Post Due'!Print_Area</vt:lpstr>
      <vt:lpstr>'Table 3.32-Accounting Post Due'!Print_Area</vt:lpstr>
      <vt:lpstr>'Table 3.33-Delivery Post Due'!Print_Area</vt:lpstr>
      <vt:lpstr>'Table 3.34-Window Post Due'!Print_Area</vt:lpstr>
      <vt:lpstr>'Table 3.36-Process Form 3546'!Print_Area</vt:lpstr>
      <vt:lpstr>'Table 3.40-Form Processing'!Print_Area</vt:lpstr>
      <vt:lpstr>'Table 3.41-Man Notice'!Print_Area</vt:lpstr>
      <vt:lpstr>'Table 3.43-Elec Notice'!Print_Area</vt:lpstr>
      <vt:lpstr>'Table 3.44-One Code ACS'!Print_Area</vt:lpstr>
    </vt:vector>
  </TitlesOfParts>
  <Company>Christensen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jdreaser</dc:creator>
  <cp:lastModifiedBy>Isaac K Gang</cp:lastModifiedBy>
  <cp:lastPrinted>2006-04-11T13:06:23Z</cp:lastPrinted>
  <dcterms:created xsi:type="dcterms:W3CDTF">2004-11-02T16:13:05Z</dcterms:created>
  <dcterms:modified xsi:type="dcterms:W3CDTF">2026-09-09T20:26:51Z</dcterms:modified>
</cp:coreProperties>
</file>